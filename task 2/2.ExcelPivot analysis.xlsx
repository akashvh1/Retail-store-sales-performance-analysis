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ASH\Desktop\task 2\"/>
    </mc:Choice>
  </mc:AlternateContent>
  <bookViews>
    <workbookView xWindow="0" yWindow="0" windowWidth="20490" windowHeight="7650" tabRatio="500" firstSheet="6" activeTab="8"/>
  </bookViews>
  <sheets>
    <sheet name="Customers" sheetId="2" r:id="rId1"/>
    <sheet name="Orders" sheetId="3" r:id="rId2"/>
    <sheet name="KPI_Summary" sheetId="1" r:id="rId3"/>
    <sheet name="Region_Analysis" sheetId="4" r:id="rId4"/>
    <sheet name="Category_Analysis" sheetId="5" r:id="rId5"/>
    <sheet name="Region_x_Category" sheetId="6" r:id="rId6"/>
    <sheet name="Segment_Analysis" sheetId="7" r:id="rId7"/>
    <sheet name="Monthly_Trend" sheetId="8" r:id="rId8"/>
    <sheet name="Top10_Customers" sheetId="9" r:id="rId9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5" l="1"/>
  <c r="C5" i="5"/>
  <c r="B5" i="5"/>
  <c r="D5" i="5" s="1"/>
  <c r="E4" i="5"/>
  <c r="C4" i="5"/>
  <c r="B4" i="5"/>
  <c r="D4" i="5" s="1"/>
  <c r="E3" i="5"/>
  <c r="C3" i="5"/>
  <c r="B3" i="5"/>
  <c r="D3" i="5" s="1"/>
  <c r="N1001" i="3"/>
  <c r="M1001" i="3"/>
  <c r="L1001" i="3"/>
  <c r="K1001" i="3"/>
  <c r="J1001" i="3"/>
  <c r="N1000" i="3"/>
  <c r="M1000" i="3"/>
  <c r="L1000" i="3"/>
  <c r="K1000" i="3"/>
  <c r="J1000" i="3"/>
  <c r="N999" i="3"/>
  <c r="M999" i="3"/>
  <c r="L999" i="3"/>
  <c r="K999" i="3"/>
  <c r="J999" i="3"/>
  <c r="N998" i="3"/>
  <c r="M998" i="3"/>
  <c r="L998" i="3"/>
  <c r="K998" i="3"/>
  <c r="J998" i="3"/>
  <c r="N997" i="3"/>
  <c r="M997" i="3"/>
  <c r="L997" i="3"/>
  <c r="K997" i="3"/>
  <c r="J997" i="3"/>
  <c r="N996" i="3"/>
  <c r="M996" i="3"/>
  <c r="L996" i="3"/>
  <c r="K996" i="3"/>
  <c r="J996" i="3"/>
  <c r="N995" i="3"/>
  <c r="M995" i="3"/>
  <c r="L995" i="3"/>
  <c r="K995" i="3"/>
  <c r="J995" i="3"/>
  <c r="N994" i="3"/>
  <c r="M994" i="3"/>
  <c r="L994" i="3"/>
  <c r="K994" i="3"/>
  <c r="J994" i="3"/>
  <c r="N993" i="3"/>
  <c r="M993" i="3"/>
  <c r="L993" i="3"/>
  <c r="K993" i="3"/>
  <c r="J993" i="3"/>
  <c r="N992" i="3"/>
  <c r="M992" i="3"/>
  <c r="L992" i="3"/>
  <c r="K992" i="3"/>
  <c r="J992" i="3"/>
  <c r="N991" i="3"/>
  <c r="M991" i="3"/>
  <c r="L991" i="3"/>
  <c r="K991" i="3"/>
  <c r="J991" i="3"/>
  <c r="N990" i="3"/>
  <c r="M990" i="3"/>
  <c r="L990" i="3"/>
  <c r="K990" i="3"/>
  <c r="J990" i="3"/>
  <c r="N989" i="3"/>
  <c r="M989" i="3"/>
  <c r="L989" i="3"/>
  <c r="K989" i="3"/>
  <c r="J989" i="3"/>
  <c r="N988" i="3"/>
  <c r="M988" i="3"/>
  <c r="L988" i="3"/>
  <c r="K988" i="3"/>
  <c r="J988" i="3"/>
  <c r="N987" i="3"/>
  <c r="M987" i="3"/>
  <c r="L987" i="3"/>
  <c r="K987" i="3"/>
  <c r="J987" i="3"/>
  <c r="N986" i="3"/>
  <c r="M986" i="3"/>
  <c r="L986" i="3"/>
  <c r="K986" i="3"/>
  <c r="J986" i="3"/>
  <c r="N985" i="3"/>
  <c r="M985" i="3"/>
  <c r="L985" i="3"/>
  <c r="K985" i="3"/>
  <c r="J985" i="3"/>
  <c r="N984" i="3"/>
  <c r="M984" i="3"/>
  <c r="L984" i="3"/>
  <c r="K984" i="3"/>
  <c r="J984" i="3"/>
  <c r="N983" i="3"/>
  <c r="M983" i="3"/>
  <c r="L983" i="3"/>
  <c r="K983" i="3"/>
  <c r="J983" i="3"/>
  <c r="N982" i="3"/>
  <c r="M982" i="3"/>
  <c r="L982" i="3"/>
  <c r="K982" i="3"/>
  <c r="J982" i="3"/>
  <c r="N981" i="3"/>
  <c r="M981" i="3"/>
  <c r="L981" i="3"/>
  <c r="K981" i="3"/>
  <c r="J981" i="3"/>
  <c r="N980" i="3"/>
  <c r="M980" i="3"/>
  <c r="L980" i="3"/>
  <c r="K980" i="3"/>
  <c r="J980" i="3"/>
  <c r="N979" i="3"/>
  <c r="M979" i="3"/>
  <c r="L979" i="3"/>
  <c r="K979" i="3"/>
  <c r="J979" i="3"/>
  <c r="N978" i="3"/>
  <c r="M978" i="3"/>
  <c r="L978" i="3"/>
  <c r="K978" i="3"/>
  <c r="J978" i="3"/>
  <c r="N977" i="3"/>
  <c r="M977" i="3"/>
  <c r="L977" i="3"/>
  <c r="K977" i="3"/>
  <c r="J977" i="3"/>
  <c r="N976" i="3"/>
  <c r="M976" i="3"/>
  <c r="L976" i="3"/>
  <c r="K976" i="3"/>
  <c r="J976" i="3"/>
  <c r="N975" i="3"/>
  <c r="M975" i="3"/>
  <c r="L975" i="3"/>
  <c r="K975" i="3"/>
  <c r="J975" i="3"/>
  <c r="N974" i="3"/>
  <c r="M974" i="3"/>
  <c r="L974" i="3"/>
  <c r="K974" i="3"/>
  <c r="J974" i="3"/>
  <c r="N973" i="3"/>
  <c r="M973" i="3"/>
  <c r="L973" i="3"/>
  <c r="K973" i="3"/>
  <c r="J973" i="3"/>
  <c r="N972" i="3"/>
  <c r="M972" i="3"/>
  <c r="L972" i="3"/>
  <c r="K972" i="3"/>
  <c r="J972" i="3"/>
  <c r="N971" i="3"/>
  <c r="M971" i="3"/>
  <c r="L971" i="3"/>
  <c r="K971" i="3"/>
  <c r="J971" i="3"/>
  <c r="N970" i="3"/>
  <c r="M970" i="3"/>
  <c r="L970" i="3"/>
  <c r="K970" i="3"/>
  <c r="J970" i="3"/>
  <c r="N969" i="3"/>
  <c r="M969" i="3"/>
  <c r="L969" i="3"/>
  <c r="K969" i="3"/>
  <c r="J969" i="3"/>
  <c r="N968" i="3"/>
  <c r="M968" i="3"/>
  <c r="L968" i="3"/>
  <c r="K968" i="3"/>
  <c r="J968" i="3"/>
  <c r="N967" i="3"/>
  <c r="M967" i="3"/>
  <c r="L967" i="3"/>
  <c r="K967" i="3"/>
  <c r="J967" i="3"/>
  <c r="N966" i="3"/>
  <c r="M966" i="3"/>
  <c r="L966" i="3"/>
  <c r="K966" i="3"/>
  <c r="J966" i="3"/>
  <c r="N965" i="3"/>
  <c r="M965" i="3"/>
  <c r="L965" i="3"/>
  <c r="K965" i="3"/>
  <c r="J965" i="3"/>
  <c r="N964" i="3"/>
  <c r="M964" i="3"/>
  <c r="L964" i="3"/>
  <c r="K964" i="3"/>
  <c r="J964" i="3"/>
  <c r="N963" i="3"/>
  <c r="M963" i="3"/>
  <c r="L963" i="3"/>
  <c r="K963" i="3"/>
  <c r="J963" i="3"/>
  <c r="N962" i="3"/>
  <c r="M962" i="3"/>
  <c r="L962" i="3"/>
  <c r="K962" i="3"/>
  <c r="J962" i="3"/>
  <c r="N961" i="3"/>
  <c r="M961" i="3"/>
  <c r="L961" i="3"/>
  <c r="K961" i="3"/>
  <c r="J961" i="3"/>
  <c r="N960" i="3"/>
  <c r="M960" i="3"/>
  <c r="L960" i="3"/>
  <c r="K960" i="3"/>
  <c r="J960" i="3"/>
  <c r="N959" i="3"/>
  <c r="M959" i="3"/>
  <c r="L959" i="3"/>
  <c r="K959" i="3"/>
  <c r="J959" i="3"/>
  <c r="N958" i="3"/>
  <c r="M958" i="3"/>
  <c r="L958" i="3"/>
  <c r="K958" i="3"/>
  <c r="J958" i="3"/>
  <c r="N957" i="3"/>
  <c r="M957" i="3"/>
  <c r="L957" i="3"/>
  <c r="K957" i="3"/>
  <c r="J957" i="3"/>
  <c r="N956" i="3"/>
  <c r="M956" i="3"/>
  <c r="L956" i="3"/>
  <c r="K956" i="3"/>
  <c r="J956" i="3"/>
  <c r="N955" i="3"/>
  <c r="M955" i="3"/>
  <c r="L955" i="3"/>
  <c r="K955" i="3"/>
  <c r="J955" i="3"/>
  <c r="N954" i="3"/>
  <c r="M954" i="3"/>
  <c r="L954" i="3"/>
  <c r="K954" i="3"/>
  <c r="J954" i="3"/>
  <c r="N953" i="3"/>
  <c r="M953" i="3"/>
  <c r="L953" i="3"/>
  <c r="K953" i="3"/>
  <c r="J953" i="3"/>
  <c r="N952" i="3"/>
  <c r="M952" i="3"/>
  <c r="L952" i="3"/>
  <c r="K952" i="3"/>
  <c r="J952" i="3"/>
  <c r="N951" i="3"/>
  <c r="M951" i="3"/>
  <c r="L951" i="3"/>
  <c r="K951" i="3"/>
  <c r="J951" i="3"/>
  <c r="N950" i="3"/>
  <c r="M950" i="3"/>
  <c r="L950" i="3"/>
  <c r="K950" i="3"/>
  <c r="J950" i="3"/>
  <c r="N949" i="3"/>
  <c r="M949" i="3"/>
  <c r="L949" i="3"/>
  <c r="K949" i="3"/>
  <c r="J949" i="3"/>
  <c r="N948" i="3"/>
  <c r="M948" i="3"/>
  <c r="L948" i="3"/>
  <c r="K948" i="3"/>
  <c r="J948" i="3"/>
  <c r="N947" i="3"/>
  <c r="M947" i="3"/>
  <c r="L947" i="3"/>
  <c r="K947" i="3"/>
  <c r="J947" i="3"/>
  <c r="N946" i="3"/>
  <c r="M946" i="3"/>
  <c r="L946" i="3"/>
  <c r="K946" i="3"/>
  <c r="J946" i="3"/>
  <c r="N945" i="3"/>
  <c r="M945" i="3"/>
  <c r="L945" i="3"/>
  <c r="K945" i="3"/>
  <c r="J945" i="3"/>
  <c r="N944" i="3"/>
  <c r="M944" i="3"/>
  <c r="L944" i="3"/>
  <c r="K944" i="3"/>
  <c r="J944" i="3"/>
  <c r="N943" i="3"/>
  <c r="M943" i="3"/>
  <c r="L943" i="3"/>
  <c r="K943" i="3"/>
  <c r="J943" i="3"/>
  <c r="N942" i="3"/>
  <c r="M942" i="3"/>
  <c r="L942" i="3"/>
  <c r="K942" i="3"/>
  <c r="J942" i="3"/>
  <c r="N941" i="3"/>
  <c r="M941" i="3"/>
  <c r="L941" i="3"/>
  <c r="K941" i="3"/>
  <c r="J941" i="3"/>
  <c r="N940" i="3"/>
  <c r="M940" i="3"/>
  <c r="L940" i="3"/>
  <c r="K940" i="3"/>
  <c r="J940" i="3"/>
  <c r="N939" i="3"/>
  <c r="M939" i="3"/>
  <c r="L939" i="3"/>
  <c r="K939" i="3"/>
  <c r="J939" i="3"/>
  <c r="N938" i="3"/>
  <c r="M938" i="3"/>
  <c r="L938" i="3"/>
  <c r="K938" i="3"/>
  <c r="J938" i="3"/>
  <c r="N937" i="3"/>
  <c r="M937" i="3"/>
  <c r="L937" i="3"/>
  <c r="K937" i="3"/>
  <c r="J937" i="3"/>
  <c r="N936" i="3"/>
  <c r="M936" i="3"/>
  <c r="L936" i="3"/>
  <c r="K936" i="3"/>
  <c r="J936" i="3"/>
  <c r="N935" i="3"/>
  <c r="M935" i="3"/>
  <c r="L935" i="3"/>
  <c r="K935" i="3"/>
  <c r="J935" i="3"/>
  <c r="N934" i="3"/>
  <c r="M934" i="3"/>
  <c r="L934" i="3"/>
  <c r="K934" i="3"/>
  <c r="J934" i="3"/>
  <c r="N933" i="3"/>
  <c r="M933" i="3"/>
  <c r="L933" i="3"/>
  <c r="K933" i="3"/>
  <c r="J933" i="3"/>
  <c r="N932" i="3"/>
  <c r="M932" i="3"/>
  <c r="L932" i="3"/>
  <c r="K932" i="3"/>
  <c r="J932" i="3"/>
  <c r="N931" i="3"/>
  <c r="M931" i="3"/>
  <c r="L931" i="3"/>
  <c r="K931" i="3"/>
  <c r="J931" i="3"/>
  <c r="N930" i="3"/>
  <c r="M930" i="3"/>
  <c r="L930" i="3"/>
  <c r="K930" i="3"/>
  <c r="J930" i="3"/>
  <c r="N929" i="3"/>
  <c r="M929" i="3"/>
  <c r="L929" i="3"/>
  <c r="K929" i="3"/>
  <c r="J929" i="3"/>
  <c r="N928" i="3"/>
  <c r="M928" i="3"/>
  <c r="L928" i="3"/>
  <c r="K928" i="3"/>
  <c r="J928" i="3"/>
  <c r="N927" i="3"/>
  <c r="M927" i="3"/>
  <c r="L927" i="3"/>
  <c r="K927" i="3"/>
  <c r="J927" i="3"/>
  <c r="N926" i="3"/>
  <c r="M926" i="3"/>
  <c r="L926" i="3"/>
  <c r="K926" i="3"/>
  <c r="J926" i="3"/>
  <c r="N925" i="3"/>
  <c r="M925" i="3"/>
  <c r="L925" i="3"/>
  <c r="K925" i="3"/>
  <c r="J925" i="3"/>
  <c r="N924" i="3"/>
  <c r="M924" i="3"/>
  <c r="L924" i="3"/>
  <c r="K924" i="3"/>
  <c r="J924" i="3"/>
  <c r="N923" i="3"/>
  <c r="M923" i="3"/>
  <c r="L923" i="3"/>
  <c r="K923" i="3"/>
  <c r="J923" i="3"/>
  <c r="N922" i="3"/>
  <c r="M922" i="3"/>
  <c r="L922" i="3"/>
  <c r="K922" i="3"/>
  <c r="J922" i="3"/>
  <c r="N921" i="3"/>
  <c r="M921" i="3"/>
  <c r="L921" i="3"/>
  <c r="K921" i="3"/>
  <c r="J921" i="3"/>
  <c r="N920" i="3"/>
  <c r="M920" i="3"/>
  <c r="L920" i="3"/>
  <c r="K920" i="3"/>
  <c r="J920" i="3"/>
  <c r="N919" i="3"/>
  <c r="M919" i="3"/>
  <c r="L919" i="3"/>
  <c r="K919" i="3"/>
  <c r="J919" i="3"/>
  <c r="N918" i="3"/>
  <c r="M918" i="3"/>
  <c r="L918" i="3"/>
  <c r="K918" i="3"/>
  <c r="J918" i="3"/>
  <c r="N917" i="3"/>
  <c r="M917" i="3"/>
  <c r="L917" i="3"/>
  <c r="K917" i="3"/>
  <c r="J917" i="3"/>
  <c r="N916" i="3"/>
  <c r="M916" i="3"/>
  <c r="L916" i="3"/>
  <c r="K916" i="3"/>
  <c r="J916" i="3"/>
  <c r="N915" i="3"/>
  <c r="M915" i="3"/>
  <c r="L915" i="3"/>
  <c r="K915" i="3"/>
  <c r="J915" i="3"/>
  <c r="N914" i="3"/>
  <c r="M914" i="3"/>
  <c r="L914" i="3"/>
  <c r="K914" i="3"/>
  <c r="J914" i="3"/>
  <c r="N913" i="3"/>
  <c r="M913" i="3"/>
  <c r="L913" i="3"/>
  <c r="K913" i="3"/>
  <c r="J913" i="3"/>
  <c r="N912" i="3"/>
  <c r="M912" i="3"/>
  <c r="L912" i="3"/>
  <c r="K912" i="3"/>
  <c r="J912" i="3"/>
  <c r="N911" i="3"/>
  <c r="M911" i="3"/>
  <c r="L911" i="3"/>
  <c r="K911" i="3"/>
  <c r="J911" i="3"/>
  <c r="N910" i="3"/>
  <c r="M910" i="3"/>
  <c r="L910" i="3"/>
  <c r="K910" i="3"/>
  <c r="J910" i="3"/>
  <c r="N909" i="3"/>
  <c r="M909" i="3"/>
  <c r="L909" i="3"/>
  <c r="K909" i="3"/>
  <c r="J909" i="3"/>
  <c r="N908" i="3"/>
  <c r="M908" i="3"/>
  <c r="L908" i="3"/>
  <c r="K908" i="3"/>
  <c r="J908" i="3"/>
  <c r="N907" i="3"/>
  <c r="M907" i="3"/>
  <c r="L907" i="3"/>
  <c r="K907" i="3"/>
  <c r="J907" i="3"/>
  <c r="N906" i="3"/>
  <c r="M906" i="3"/>
  <c r="L906" i="3"/>
  <c r="K906" i="3"/>
  <c r="J906" i="3"/>
  <c r="N905" i="3"/>
  <c r="M905" i="3"/>
  <c r="L905" i="3"/>
  <c r="K905" i="3"/>
  <c r="J905" i="3"/>
  <c r="N904" i="3"/>
  <c r="M904" i="3"/>
  <c r="L904" i="3"/>
  <c r="K904" i="3"/>
  <c r="J904" i="3"/>
  <c r="N903" i="3"/>
  <c r="M903" i="3"/>
  <c r="L903" i="3"/>
  <c r="K903" i="3"/>
  <c r="J903" i="3"/>
  <c r="N902" i="3"/>
  <c r="M902" i="3"/>
  <c r="L902" i="3"/>
  <c r="K902" i="3"/>
  <c r="J902" i="3"/>
  <c r="N901" i="3"/>
  <c r="M901" i="3"/>
  <c r="L901" i="3"/>
  <c r="K901" i="3"/>
  <c r="J901" i="3"/>
  <c r="N900" i="3"/>
  <c r="M900" i="3"/>
  <c r="L900" i="3"/>
  <c r="K900" i="3"/>
  <c r="J900" i="3"/>
  <c r="N899" i="3"/>
  <c r="M899" i="3"/>
  <c r="L899" i="3"/>
  <c r="K899" i="3"/>
  <c r="J899" i="3"/>
  <c r="N898" i="3"/>
  <c r="M898" i="3"/>
  <c r="L898" i="3"/>
  <c r="K898" i="3"/>
  <c r="J898" i="3"/>
  <c r="N897" i="3"/>
  <c r="M897" i="3"/>
  <c r="L897" i="3"/>
  <c r="K897" i="3"/>
  <c r="J897" i="3"/>
  <c r="N896" i="3"/>
  <c r="M896" i="3"/>
  <c r="L896" i="3"/>
  <c r="K896" i="3"/>
  <c r="J896" i="3"/>
  <c r="N895" i="3"/>
  <c r="M895" i="3"/>
  <c r="L895" i="3"/>
  <c r="K895" i="3"/>
  <c r="J895" i="3"/>
  <c r="N894" i="3"/>
  <c r="M894" i="3"/>
  <c r="L894" i="3"/>
  <c r="K894" i="3"/>
  <c r="J894" i="3"/>
  <c r="N893" i="3"/>
  <c r="M893" i="3"/>
  <c r="L893" i="3"/>
  <c r="K893" i="3"/>
  <c r="J893" i="3"/>
  <c r="N892" i="3"/>
  <c r="M892" i="3"/>
  <c r="L892" i="3"/>
  <c r="K892" i="3"/>
  <c r="J892" i="3"/>
  <c r="N891" i="3"/>
  <c r="M891" i="3"/>
  <c r="L891" i="3"/>
  <c r="K891" i="3"/>
  <c r="J891" i="3"/>
  <c r="N890" i="3"/>
  <c r="M890" i="3"/>
  <c r="L890" i="3"/>
  <c r="K890" i="3"/>
  <c r="J890" i="3"/>
  <c r="N889" i="3"/>
  <c r="M889" i="3"/>
  <c r="L889" i="3"/>
  <c r="K889" i="3"/>
  <c r="J889" i="3"/>
  <c r="N888" i="3"/>
  <c r="M888" i="3"/>
  <c r="L888" i="3"/>
  <c r="K888" i="3"/>
  <c r="J888" i="3"/>
  <c r="N887" i="3"/>
  <c r="M887" i="3"/>
  <c r="L887" i="3"/>
  <c r="K887" i="3"/>
  <c r="J887" i="3"/>
  <c r="N886" i="3"/>
  <c r="M886" i="3"/>
  <c r="L886" i="3"/>
  <c r="K886" i="3"/>
  <c r="J886" i="3"/>
  <c r="N885" i="3"/>
  <c r="M885" i="3"/>
  <c r="L885" i="3"/>
  <c r="K885" i="3"/>
  <c r="J885" i="3"/>
  <c r="N884" i="3"/>
  <c r="M884" i="3"/>
  <c r="L884" i="3"/>
  <c r="K884" i="3"/>
  <c r="J884" i="3"/>
  <c r="N883" i="3"/>
  <c r="M883" i="3"/>
  <c r="L883" i="3"/>
  <c r="K883" i="3"/>
  <c r="J883" i="3"/>
  <c r="N882" i="3"/>
  <c r="M882" i="3"/>
  <c r="L882" i="3"/>
  <c r="K882" i="3"/>
  <c r="J882" i="3"/>
  <c r="N881" i="3"/>
  <c r="M881" i="3"/>
  <c r="L881" i="3"/>
  <c r="K881" i="3"/>
  <c r="J881" i="3"/>
  <c r="N880" i="3"/>
  <c r="M880" i="3"/>
  <c r="L880" i="3"/>
  <c r="K880" i="3"/>
  <c r="J880" i="3"/>
  <c r="N879" i="3"/>
  <c r="M879" i="3"/>
  <c r="L879" i="3"/>
  <c r="K879" i="3"/>
  <c r="J879" i="3"/>
  <c r="N878" i="3"/>
  <c r="M878" i="3"/>
  <c r="L878" i="3"/>
  <c r="K878" i="3"/>
  <c r="J878" i="3"/>
  <c r="N877" i="3"/>
  <c r="M877" i="3"/>
  <c r="L877" i="3"/>
  <c r="K877" i="3"/>
  <c r="J877" i="3"/>
  <c r="N876" i="3"/>
  <c r="M876" i="3"/>
  <c r="L876" i="3"/>
  <c r="K876" i="3"/>
  <c r="J876" i="3"/>
  <c r="N875" i="3"/>
  <c r="M875" i="3"/>
  <c r="L875" i="3"/>
  <c r="K875" i="3"/>
  <c r="J875" i="3"/>
  <c r="N874" i="3"/>
  <c r="M874" i="3"/>
  <c r="L874" i="3"/>
  <c r="K874" i="3"/>
  <c r="J874" i="3"/>
  <c r="N873" i="3"/>
  <c r="M873" i="3"/>
  <c r="L873" i="3"/>
  <c r="K873" i="3"/>
  <c r="J873" i="3"/>
  <c r="N872" i="3"/>
  <c r="M872" i="3"/>
  <c r="L872" i="3"/>
  <c r="K872" i="3"/>
  <c r="J872" i="3"/>
  <c r="N871" i="3"/>
  <c r="M871" i="3"/>
  <c r="L871" i="3"/>
  <c r="K871" i="3"/>
  <c r="J871" i="3"/>
  <c r="N870" i="3"/>
  <c r="M870" i="3"/>
  <c r="L870" i="3"/>
  <c r="K870" i="3"/>
  <c r="J870" i="3"/>
  <c r="N869" i="3"/>
  <c r="M869" i="3"/>
  <c r="L869" i="3"/>
  <c r="K869" i="3"/>
  <c r="J869" i="3"/>
  <c r="N868" i="3"/>
  <c r="M868" i="3"/>
  <c r="L868" i="3"/>
  <c r="K868" i="3"/>
  <c r="J868" i="3"/>
  <c r="N867" i="3"/>
  <c r="M867" i="3"/>
  <c r="L867" i="3"/>
  <c r="K867" i="3"/>
  <c r="J867" i="3"/>
  <c r="N866" i="3"/>
  <c r="M866" i="3"/>
  <c r="L866" i="3"/>
  <c r="K866" i="3"/>
  <c r="J866" i="3"/>
  <c r="N865" i="3"/>
  <c r="M865" i="3"/>
  <c r="L865" i="3"/>
  <c r="K865" i="3"/>
  <c r="J865" i="3"/>
  <c r="N864" i="3"/>
  <c r="M864" i="3"/>
  <c r="L864" i="3"/>
  <c r="K864" i="3"/>
  <c r="J864" i="3"/>
  <c r="N863" i="3"/>
  <c r="M863" i="3"/>
  <c r="L863" i="3"/>
  <c r="K863" i="3"/>
  <c r="J863" i="3"/>
  <c r="N862" i="3"/>
  <c r="M862" i="3"/>
  <c r="L862" i="3"/>
  <c r="K862" i="3"/>
  <c r="J862" i="3"/>
  <c r="N861" i="3"/>
  <c r="M861" i="3"/>
  <c r="L861" i="3"/>
  <c r="K861" i="3"/>
  <c r="J861" i="3"/>
  <c r="N860" i="3"/>
  <c r="M860" i="3"/>
  <c r="L860" i="3"/>
  <c r="K860" i="3"/>
  <c r="J860" i="3"/>
  <c r="N859" i="3"/>
  <c r="M859" i="3"/>
  <c r="L859" i="3"/>
  <c r="K859" i="3"/>
  <c r="J859" i="3"/>
  <c r="N858" i="3"/>
  <c r="M858" i="3"/>
  <c r="L858" i="3"/>
  <c r="K858" i="3"/>
  <c r="J858" i="3"/>
  <c r="N857" i="3"/>
  <c r="M857" i="3"/>
  <c r="L857" i="3"/>
  <c r="K857" i="3"/>
  <c r="J857" i="3"/>
  <c r="N856" i="3"/>
  <c r="M856" i="3"/>
  <c r="L856" i="3"/>
  <c r="K856" i="3"/>
  <c r="J856" i="3"/>
  <c r="N855" i="3"/>
  <c r="M855" i="3"/>
  <c r="L855" i="3"/>
  <c r="K855" i="3"/>
  <c r="J855" i="3"/>
  <c r="N854" i="3"/>
  <c r="M854" i="3"/>
  <c r="L854" i="3"/>
  <c r="K854" i="3"/>
  <c r="J854" i="3"/>
  <c r="N853" i="3"/>
  <c r="M853" i="3"/>
  <c r="L853" i="3"/>
  <c r="K853" i="3"/>
  <c r="J853" i="3"/>
  <c r="N852" i="3"/>
  <c r="M852" i="3"/>
  <c r="L852" i="3"/>
  <c r="K852" i="3"/>
  <c r="J852" i="3"/>
  <c r="N851" i="3"/>
  <c r="M851" i="3"/>
  <c r="L851" i="3"/>
  <c r="K851" i="3"/>
  <c r="J851" i="3"/>
  <c r="N850" i="3"/>
  <c r="M850" i="3"/>
  <c r="L850" i="3"/>
  <c r="K850" i="3"/>
  <c r="J850" i="3"/>
  <c r="N849" i="3"/>
  <c r="M849" i="3"/>
  <c r="L849" i="3"/>
  <c r="K849" i="3"/>
  <c r="J849" i="3"/>
  <c r="N848" i="3"/>
  <c r="M848" i="3"/>
  <c r="L848" i="3"/>
  <c r="K848" i="3"/>
  <c r="J848" i="3"/>
  <c r="N847" i="3"/>
  <c r="M847" i="3"/>
  <c r="L847" i="3"/>
  <c r="K847" i="3"/>
  <c r="J847" i="3"/>
  <c r="N846" i="3"/>
  <c r="M846" i="3"/>
  <c r="L846" i="3"/>
  <c r="K846" i="3"/>
  <c r="J846" i="3"/>
  <c r="N845" i="3"/>
  <c r="M845" i="3"/>
  <c r="L845" i="3"/>
  <c r="K845" i="3"/>
  <c r="J845" i="3"/>
  <c r="N844" i="3"/>
  <c r="M844" i="3"/>
  <c r="L844" i="3"/>
  <c r="K844" i="3"/>
  <c r="J844" i="3"/>
  <c r="N843" i="3"/>
  <c r="M843" i="3"/>
  <c r="L843" i="3"/>
  <c r="K843" i="3"/>
  <c r="J843" i="3"/>
  <c r="N842" i="3"/>
  <c r="M842" i="3"/>
  <c r="L842" i="3"/>
  <c r="K842" i="3"/>
  <c r="J842" i="3"/>
  <c r="N841" i="3"/>
  <c r="M841" i="3"/>
  <c r="L841" i="3"/>
  <c r="K841" i="3"/>
  <c r="J841" i="3"/>
  <c r="N840" i="3"/>
  <c r="M840" i="3"/>
  <c r="L840" i="3"/>
  <c r="K840" i="3"/>
  <c r="J840" i="3"/>
  <c r="N839" i="3"/>
  <c r="M839" i="3"/>
  <c r="L839" i="3"/>
  <c r="K839" i="3"/>
  <c r="J839" i="3"/>
  <c r="N838" i="3"/>
  <c r="M838" i="3"/>
  <c r="L838" i="3"/>
  <c r="K838" i="3"/>
  <c r="J838" i="3"/>
  <c r="N837" i="3"/>
  <c r="M837" i="3"/>
  <c r="L837" i="3"/>
  <c r="K837" i="3"/>
  <c r="J837" i="3"/>
  <c r="N836" i="3"/>
  <c r="M836" i="3"/>
  <c r="L836" i="3"/>
  <c r="K836" i="3"/>
  <c r="J836" i="3"/>
  <c r="N835" i="3"/>
  <c r="M835" i="3"/>
  <c r="L835" i="3"/>
  <c r="K835" i="3"/>
  <c r="J835" i="3"/>
  <c r="N834" i="3"/>
  <c r="M834" i="3"/>
  <c r="L834" i="3"/>
  <c r="K834" i="3"/>
  <c r="J834" i="3"/>
  <c r="N833" i="3"/>
  <c r="M833" i="3"/>
  <c r="L833" i="3"/>
  <c r="K833" i="3"/>
  <c r="J833" i="3"/>
  <c r="N832" i="3"/>
  <c r="M832" i="3"/>
  <c r="L832" i="3"/>
  <c r="K832" i="3"/>
  <c r="J832" i="3"/>
  <c r="N831" i="3"/>
  <c r="M831" i="3"/>
  <c r="L831" i="3"/>
  <c r="K831" i="3"/>
  <c r="J831" i="3"/>
  <c r="N830" i="3"/>
  <c r="M830" i="3"/>
  <c r="L830" i="3"/>
  <c r="K830" i="3"/>
  <c r="J830" i="3"/>
  <c r="N829" i="3"/>
  <c r="M829" i="3"/>
  <c r="L829" i="3"/>
  <c r="K829" i="3"/>
  <c r="J829" i="3"/>
  <c r="N828" i="3"/>
  <c r="M828" i="3"/>
  <c r="L828" i="3"/>
  <c r="K828" i="3"/>
  <c r="J828" i="3"/>
  <c r="N827" i="3"/>
  <c r="M827" i="3"/>
  <c r="L827" i="3"/>
  <c r="K827" i="3"/>
  <c r="J827" i="3"/>
  <c r="N826" i="3"/>
  <c r="M826" i="3"/>
  <c r="L826" i="3"/>
  <c r="K826" i="3"/>
  <c r="J826" i="3"/>
  <c r="N825" i="3"/>
  <c r="M825" i="3"/>
  <c r="L825" i="3"/>
  <c r="K825" i="3"/>
  <c r="J825" i="3"/>
  <c r="N824" i="3"/>
  <c r="M824" i="3"/>
  <c r="L824" i="3"/>
  <c r="K824" i="3"/>
  <c r="J824" i="3"/>
  <c r="N823" i="3"/>
  <c r="M823" i="3"/>
  <c r="L823" i="3"/>
  <c r="K823" i="3"/>
  <c r="J823" i="3"/>
  <c r="N822" i="3"/>
  <c r="M822" i="3"/>
  <c r="L822" i="3"/>
  <c r="K822" i="3"/>
  <c r="J822" i="3"/>
  <c r="N821" i="3"/>
  <c r="M821" i="3"/>
  <c r="L821" i="3"/>
  <c r="K821" i="3"/>
  <c r="J821" i="3"/>
  <c r="N820" i="3"/>
  <c r="M820" i="3"/>
  <c r="L820" i="3"/>
  <c r="K820" i="3"/>
  <c r="J820" i="3"/>
  <c r="N819" i="3"/>
  <c r="M819" i="3"/>
  <c r="L819" i="3"/>
  <c r="K819" i="3"/>
  <c r="J819" i="3"/>
  <c r="N818" i="3"/>
  <c r="M818" i="3"/>
  <c r="L818" i="3"/>
  <c r="K818" i="3"/>
  <c r="J818" i="3"/>
  <c r="N817" i="3"/>
  <c r="M817" i="3"/>
  <c r="L817" i="3"/>
  <c r="K817" i="3"/>
  <c r="J817" i="3"/>
  <c r="N816" i="3"/>
  <c r="M816" i="3"/>
  <c r="L816" i="3"/>
  <c r="K816" i="3"/>
  <c r="J816" i="3"/>
  <c r="N815" i="3"/>
  <c r="M815" i="3"/>
  <c r="L815" i="3"/>
  <c r="K815" i="3"/>
  <c r="J815" i="3"/>
  <c r="N814" i="3"/>
  <c r="M814" i="3"/>
  <c r="L814" i="3"/>
  <c r="K814" i="3"/>
  <c r="J814" i="3"/>
  <c r="N813" i="3"/>
  <c r="M813" i="3"/>
  <c r="L813" i="3"/>
  <c r="K813" i="3"/>
  <c r="J813" i="3"/>
  <c r="N812" i="3"/>
  <c r="M812" i="3"/>
  <c r="L812" i="3"/>
  <c r="K812" i="3"/>
  <c r="J812" i="3"/>
  <c r="N811" i="3"/>
  <c r="M811" i="3"/>
  <c r="L811" i="3"/>
  <c r="K811" i="3"/>
  <c r="J811" i="3"/>
  <c r="N810" i="3"/>
  <c r="M810" i="3"/>
  <c r="L810" i="3"/>
  <c r="K810" i="3"/>
  <c r="J810" i="3"/>
  <c r="N809" i="3"/>
  <c r="M809" i="3"/>
  <c r="L809" i="3"/>
  <c r="K809" i="3"/>
  <c r="J809" i="3"/>
  <c r="N808" i="3"/>
  <c r="M808" i="3"/>
  <c r="L808" i="3"/>
  <c r="K808" i="3"/>
  <c r="J808" i="3"/>
  <c r="N807" i="3"/>
  <c r="M807" i="3"/>
  <c r="L807" i="3"/>
  <c r="K807" i="3"/>
  <c r="J807" i="3"/>
  <c r="N806" i="3"/>
  <c r="M806" i="3"/>
  <c r="L806" i="3"/>
  <c r="K806" i="3"/>
  <c r="J806" i="3"/>
  <c r="N805" i="3"/>
  <c r="M805" i="3"/>
  <c r="L805" i="3"/>
  <c r="K805" i="3"/>
  <c r="J805" i="3"/>
  <c r="N804" i="3"/>
  <c r="M804" i="3"/>
  <c r="L804" i="3"/>
  <c r="K804" i="3"/>
  <c r="J804" i="3"/>
  <c r="N803" i="3"/>
  <c r="M803" i="3"/>
  <c r="L803" i="3"/>
  <c r="K803" i="3"/>
  <c r="J803" i="3"/>
  <c r="N802" i="3"/>
  <c r="M802" i="3"/>
  <c r="L802" i="3"/>
  <c r="K802" i="3"/>
  <c r="J802" i="3"/>
  <c r="N801" i="3"/>
  <c r="M801" i="3"/>
  <c r="L801" i="3"/>
  <c r="K801" i="3"/>
  <c r="J801" i="3"/>
  <c r="N800" i="3"/>
  <c r="M800" i="3"/>
  <c r="L800" i="3"/>
  <c r="K800" i="3"/>
  <c r="J800" i="3"/>
  <c r="N799" i="3"/>
  <c r="M799" i="3"/>
  <c r="L799" i="3"/>
  <c r="K799" i="3"/>
  <c r="J799" i="3"/>
  <c r="N798" i="3"/>
  <c r="M798" i="3"/>
  <c r="L798" i="3"/>
  <c r="K798" i="3"/>
  <c r="J798" i="3"/>
  <c r="N797" i="3"/>
  <c r="M797" i="3"/>
  <c r="L797" i="3"/>
  <c r="K797" i="3"/>
  <c r="J797" i="3"/>
  <c r="N796" i="3"/>
  <c r="M796" i="3"/>
  <c r="L796" i="3"/>
  <c r="K796" i="3"/>
  <c r="J796" i="3"/>
  <c r="N795" i="3"/>
  <c r="M795" i="3"/>
  <c r="L795" i="3"/>
  <c r="K795" i="3"/>
  <c r="J795" i="3"/>
  <c r="N794" i="3"/>
  <c r="M794" i="3"/>
  <c r="L794" i="3"/>
  <c r="K794" i="3"/>
  <c r="J794" i="3"/>
  <c r="N793" i="3"/>
  <c r="M793" i="3"/>
  <c r="L793" i="3"/>
  <c r="K793" i="3"/>
  <c r="J793" i="3"/>
  <c r="N792" i="3"/>
  <c r="M792" i="3"/>
  <c r="L792" i="3"/>
  <c r="K792" i="3"/>
  <c r="J792" i="3"/>
  <c r="N791" i="3"/>
  <c r="M791" i="3"/>
  <c r="L791" i="3"/>
  <c r="K791" i="3"/>
  <c r="J791" i="3"/>
  <c r="N790" i="3"/>
  <c r="M790" i="3"/>
  <c r="L790" i="3"/>
  <c r="K790" i="3"/>
  <c r="J790" i="3"/>
  <c r="N789" i="3"/>
  <c r="M789" i="3"/>
  <c r="L789" i="3"/>
  <c r="K789" i="3"/>
  <c r="J789" i="3"/>
  <c r="N788" i="3"/>
  <c r="M788" i="3"/>
  <c r="L788" i="3"/>
  <c r="K788" i="3"/>
  <c r="J788" i="3"/>
  <c r="N787" i="3"/>
  <c r="M787" i="3"/>
  <c r="L787" i="3"/>
  <c r="K787" i="3"/>
  <c r="J787" i="3"/>
  <c r="N786" i="3"/>
  <c r="M786" i="3"/>
  <c r="L786" i="3"/>
  <c r="K786" i="3"/>
  <c r="J786" i="3"/>
  <c r="N785" i="3"/>
  <c r="M785" i="3"/>
  <c r="L785" i="3"/>
  <c r="K785" i="3"/>
  <c r="J785" i="3"/>
  <c r="N784" i="3"/>
  <c r="M784" i="3"/>
  <c r="L784" i="3"/>
  <c r="K784" i="3"/>
  <c r="J784" i="3"/>
  <c r="N783" i="3"/>
  <c r="M783" i="3"/>
  <c r="L783" i="3"/>
  <c r="K783" i="3"/>
  <c r="J783" i="3"/>
  <c r="N782" i="3"/>
  <c r="M782" i="3"/>
  <c r="L782" i="3"/>
  <c r="K782" i="3"/>
  <c r="J782" i="3"/>
  <c r="N781" i="3"/>
  <c r="M781" i="3"/>
  <c r="L781" i="3"/>
  <c r="K781" i="3"/>
  <c r="J781" i="3"/>
  <c r="N780" i="3"/>
  <c r="M780" i="3"/>
  <c r="L780" i="3"/>
  <c r="K780" i="3"/>
  <c r="J780" i="3"/>
  <c r="N779" i="3"/>
  <c r="M779" i="3"/>
  <c r="L779" i="3"/>
  <c r="K779" i="3"/>
  <c r="J779" i="3"/>
  <c r="N778" i="3"/>
  <c r="M778" i="3"/>
  <c r="L778" i="3"/>
  <c r="K778" i="3"/>
  <c r="J778" i="3"/>
  <c r="N777" i="3"/>
  <c r="M777" i="3"/>
  <c r="L777" i="3"/>
  <c r="K777" i="3"/>
  <c r="J777" i="3"/>
  <c r="N776" i="3"/>
  <c r="M776" i="3"/>
  <c r="L776" i="3"/>
  <c r="K776" i="3"/>
  <c r="J776" i="3"/>
  <c r="N775" i="3"/>
  <c r="M775" i="3"/>
  <c r="L775" i="3"/>
  <c r="K775" i="3"/>
  <c r="J775" i="3"/>
  <c r="N774" i="3"/>
  <c r="M774" i="3"/>
  <c r="L774" i="3"/>
  <c r="K774" i="3"/>
  <c r="J774" i="3"/>
  <c r="N773" i="3"/>
  <c r="M773" i="3"/>
  <c r="L773" i="3"/>
  <c r="K773" i="3"/>
  <c r="J773" i="3"/>
  <c r="N772" i="3"/>
  <c r="M772" i="3"/>
  <c r="L772" i="3"/>
  <c r="K772" i="3"/>
  <c r="J772" i="3"/>
  <c r="N771" i="3"/>
  <c r="M771" i="3"/>
  <c r="L771" i="3"/>
  <c r="K771" i="3"/>
  <c r="J771" i="3"/>
  <c r="N770" i="3"/>
  <c r="M770" i="3"/>
  <c r="L770" i="3"/>
  <c r="K770" i="3"/>
  <c r="J770" i="3"/>
  <c r="N769" i="3"/>
  <c r="M769" i="3"/>
  <c r="L769" i="3"/>
  <c r="K769" i="3"/>
  <c r="J769" i="3"/>
  <c r="N768" i="3"/>
  <c r="M768" i="3"/>
  <c r="L768" i="3"/>
  <c r="K768" i="3"/>
  <c r="J768" i="3"/>
  <c r="N767" i="3"/>
  <c r="M767" i="3"/>
  <c r="L767" i="3"/>
  <c r="K767" i="3"/>
  <c r="J767" i="3"/>
  <c r="N766" i="3"/>
  <c r="M766" i="3"/>
  <c r="L766" i="3"/>
  <c r="K766" i="3"/>
  <c r="J766" i="3"/>
  <c r="N765" i="3"/>
  <c r="M765" i="3"/>
  <c r="L765" i="3"/>
  <c r="K765" i="3"/>
  <c r="J765" i="3"/>
  <c r="N764" i="3"/>
  <c r="M764" i="3"/>
  <c r="L764" i="3"/>
  <c r="K764" i="3"/>
  <c r="J764" i="3"/>
  <c r="N763" i="3"/>
  <c r="M763" i="3"/>
  <c r="L763" i="3"/>
  <c r="K763" i="3"/>
  <c r="J763" i="3"/>
  <c r="N762" i="3"/>
  <c r="M762" i="3"/>
  <c r="L762" i="3"/>
  <c r="K762" i="3"/>
  <c r="J762" i="3"/>
  <c r="N761" i="3"/>
  <c r="M761" i="3"/>
  <c r="L761" i="3"/>
  <c r="K761" i="3"/>
  <c r="J761" i="3"/>
  <c r="N760" i="3"/>
  <c r="M760" i="3"/>
  <c r="L760" i="3"/>
  <c r="K760" i="3"/>
  <c r="J760" i="3"/>
  <c r="N759" i="3"/>
  <c r="M759" i="3"/>
  <c r="L759" i="3"/>
  <c r="K759" i="3"/>
  <c r="J759" i="3"/>
  <c r="N758" i="3"/>
  <c r="M758" i="3"/>
  <c r="L758" i="3"/>
  <c r="K758" i="3"/>
  <c r="J758" i="3"/>
  <c r="N757" i="3"/>
  <c r="M757" i="3"/>
  <c r="L757" i="3"/>
  <c r="K757" i="3"/>
  <c r="J757" i="3"/>
  <c r="N756" i="3"/>
  <c r="M756" i="3"/>
  <c r="L756" i="3"/>
  <c r="K756" i="3"/>
  <c r="J756" i="3"/>
  <c r="N755" i="3"/>
  <c r="M755" i="3"/>
  <c r="L755" i="3"/>
  <c r="K755" i="3"/>
  <c r="J755" i="3"/>
  <c r="N754" i="3"/>
  <c r="M754" i="3"/>
  <c r="L754" i="3"/>
  <c r="K754" i="3"/>
  <c r="J754" i="3"/>
  <c r="N753" i="3"/>
  <c r="M753" i="3"/>
  <c r="L753" i="3"/>
  <c r="K753" i="3"/>
  <c r="J753" i="3"/>
  <c r="N752" i="3"/>
  <c r="M752" i="3"/>
  <c r="L752" i="3"/>
  <c r="K752" i="3"/>
  <c r="J752" i="3"/>
  <c r="N751" i="3"/>
  <c r="M751" i="3"/>
  <c r="L751" i="3"/>
  <c r="K751" i="3"/>
  <c r="J751" i="3"/>
  <c r="N750" i="3"/>
  <c r="M750" i="3"/>
  <c r="L750" i="3"/>
  <c r="K750" i="3"/>
  <c r="J750" i="3"/>
  <c r="N749" i="3"/>
  <c r="M749" i="3"/>
  <c r="L749" i="3"/>
  <c r="K749" i="3"/>
  <c r="J749" i="3"/>
  <c r="N748" i="3"/>
  <c r="M748" i="3"/>
  <c r="L748" i="3"/>
  <c r="K748" i="3"/>
  <c r="J748" i="3"/>
  <c r="N747" i="3"/>
  <c r="M747" i="3"/>
  <c r="L747" i="3"/>
  <c r="K747" i="3"/>
  <c r="J747" i="3"/>
  <c r="N746" i="3"/>
  <c r="M746" i="3"/>
  <c r="L746" i="3"/>
  <c r="K746" i="3"/>
  <c r="J746" i="3"/>
  <c r="N745" i="3"/>
  <c r="M745" i="3"/>
  <c r="L745" i="3"/>
  <c r="K745" i="3"/>
  <c r="J745" i="3"/>
  <c r="N744" i="3"/>
  <c r="M744" i="3"/>
  <c r="L744" i="3"/>
  <c r="K744" i="3"/>
  <c r="J744" i="3"/>
  <c r="N743" i="3"/>
  <c r="M743" i="3"/>
  <c r="L743" i="3"/>
  <c r="K743" i="3"/>
  <c r="J743" i="3"/>
  <c r="N742" i="3"/>
  <c r="M742" i="3"/>
  <c r="L742" i="3"/>
  <c r="K742" i="3"/>
  <c r="J742" i="3"/>
  <c r="N741" i="3"/>
  <c r="M741" i="3"/>
  <c r="L741" i="3"/>
  <c r="K741" i="3"/>
  <c r="J741" i="3"/>
  <c r="N740" i="3"/>
  <c r="M740" i="3"/>
  <c r="L740" i="3"/>
  <c r="K740" i="3"/>
  <c r="J740" i="3"/>
  <c r="N739" i="3"/>
  <c r="M739" i="3"/>
  <c r="L739" i="3"/>
  <c r="K739" i="3"/>
  <c r="J739" i="3"/>
  <c r="N738" i="3"/>
  <c r="M738" i="3"/>
  <c r="L738" i="3"/>
  <c r="K738" i="3"/>
  <c r="J738" i="3"/>
  <c r="N737" i="3"/>
  <c r="M737" i="3"/>
  <c r="L737" i="3"/>
  <c r="K737" i="3"/>
  <c r="J737" i="3"/>
  <c r="N736" i="3"/>
  <c r="M736" i="3"/>
  <c r="L736" i="3"/>
  <c r="K736" i="3"/>
  <c r="J736" i="3"/>
  <c r="N735" i="3"/>
  <c r="M735" i="3"/>
  <c r="L735" i="3"/>
  <c r="K735" i="3"/>
  <c r="J735" i="3"/>
  <c r="N734" i="3"/>
  <c r="M734" i="3"/>
  <c r="L734" i="3"/>
  <c r="K734" i="3"/>
  <c r="J734" i="3"/>
  <c r="N733" i="3"/>
  <c r="M733" i="3"/>
  <c r="L733" i="3"/>
  <c r="K733" i="3"/>
  <c r="J733" i="3"/>
  <c r="N732" i="3"/>
  <c r="M732" i="3"/>
  <c r="L732" i="3"/>
  <c r="K732" i="3"/>
  <c r="J732" i="3"/>
  <c r="N731" i="3"/>
  <c r="M731" i="3"/>
  <c r="L731" i="3"/>
  <c r="K731" i="3"/>
  <c r="J731" i="3"/>
  <c r="N730" i="3"/>
  <c r="M730" i="3"/>
  <c r="L730" i="3"/>
  <c r="K730" i="3"/>
  <c r="J730" i="3"/>
  <c r="N729" i="3"/>
  <c r="M729" i="3"/>
  <c r="L729" i="3"/>
  <c r="K729" i="3"/>
  <c r="J729" i="3"/>
  <c r="N728" i="3"/>
  <c r="M728" i="3"/>
  <c r="L728" i="3"/>
  <c r="K728" i="3"/>
  <c r="J728" i="3"/>
  <c r="N727" i="3"/>
  <c r="M727" i="3"/>
  <c r="L727" i="3"/>
  <c r="K727" i="3"/>
  <c r="J727" i="3"/>
  <c r="N726" i="3"/>
  <c r="M726" i="3"/>
  <c r="L726" i="3"/>
  <c r="K726" i="3"/>
  <c r="J726" i="3"/>
  <c r="N725" i="3"/>
  <c r="M725" i="3"/>
  <c r="L725" i="3"/>
  <c r="K725" i="3"/>
  <c r="J725" i="3"/>
  <c r="N724" i="3"/>
  <c r="M724" i="3"/>
  <c r="L724" i="3"/>
  <c r="K724" i="3"/>
  <c r="J724" i="3"/>
  <c r="N723" i="3"/>
  <c r="M723" i="3"/>
  <c r="L723" i="3"/>
  <c r="K723" i="3"/>
  <c r="J723" i="3"/>
  <c r="N722" i="3"/>
  <c r="M722" i="3"/>
  <c r="L722" i="3"/>
  <c r="K722" i="3"/>
  <c r="J722" i="3"/>
  <c r="N721" i="3"/>
  <c r="M721" i="3"/>
  <c r="L721" i="3"/>
  <c r="K721" i="3"/>
  <c r="J721" i="3"/>
  <c r="N720" i="3"/>
  <c r="M720" i="3"/>
  <c r="L720" i="3"/>
  <c r="K720" i="3"/>
  <c r="J720" i="3"/>
  <c r="N719" i="3"/>
  <c r="M719" i="3"/>
  <c r="L719" i="3"/>
  <c r="K719" i="3"/>
  <c r="J719" i="3"/>
  <c r="N718" i="3"/>
  <c r="M718" i="3"/>
  <c r="L718" i="3"/>
  <c r="K718" i="3"/>
  <c r="J718" i="3"/>
  <c r="N717" i="3"/>
  <c r="M717" i="3"/>
  <c r="L717" i="3"/>
  <c r="K717" i="3"/>
  <c r="J717" i="3"/>
  <c r="N716" i="3"/>
  <c r="M716" i="3"/>
  <c r="L716" i="3"/>
  <c r="K716" i="3"/>
  <c r="J716" i="3"/>
  <c r="N715" i="3"/>
  <c r="M715" i="3"/>
  <c r="L715" i="3"/>
  <c r="K715" i="3"/>
  <c r="J715" i="3"/>
  <c r="N714" i="3"/>
  <c r="M714" i="3"/>
  <c r="L714" i="3"/>
  <c r="K714" i="3"/>
  <c r="J714" i="3"/>
  <c r="N713" i="3"/>
  <c r="M713" i="3"/>
  <c r="L713" i="3"/>
  <c r="K713" i="3"/>
  <c r="J713" i="3"/>
  <c r="N712" i="3"/>
  <c r="M712" i="3"/>
  <c r="L712" i="3"/>
  <c r="K712" i="3"/>
  <c r="J712" i="3"/>
  <c r="N711" i="3"/>
  <c r="M711" i="3"/>
  <c r="L711" i="3"/>
  <c r="K711" i="3"/>
  <c r="J711" i="3"/>
  <c r="N710" i="3"/>
  <c r="M710" i="3"/>
  <c r="L710" i="3"/>
  <c r="K710" i="3"/>
  <c r="J710" i="3"/>
  <c r="N709" i="3"/>
  <c r="M709" i="3"/>
  <c r="L709" i="3"/>
  <c r="K709" i="3"/>
  <c r="J709" i="3"/>
  <c r="N708" i="3"/>
  <c r="M708" i="3"/>
  <c r="L708" i="3"/>
  <c r="K708" i="3"/>
  <c r="J708" i="3"/>
  <c r="N707" i="3"/>
  <c r="M707" i="3"/>
  <c r="L707" i="3"/>
  <c r="K707" i="3"/>
  <c r="J707" i="3"/>
  <c r="N706" i="3"/>
  <c r="M706" i="3"/>
  <c r="L706" i="3"/>
  <c r="K706" i="3"/>
  <c r="J706" i="3"/>
  <c r="N705" i="3"/>
  <c r="M705" i="3"/>
  <c r="L705" i="3"/>
  <c r="K705" i="3"/>
  <c r="J705" i="3"/>
  <c r="N704" i="3"/>
  <c r="M704" i="3"/>
  <c r="L704" i="3"/>
  <c r="K704" i="3"/>
  <c r="J704" i="3"/>
  <c r="N703" i="3"/>
  <c r="M703" i="3"/>
  <c r="L703" i="3"/>
  <c r="K703" i="3"/>
  <c r="J703" i="3"/>
  <c r="N702" i="3"/>
  <c r="M702" i="3"/>
  <c r="L702" i="3"/>
  <c r="K702" i="3"/>
  <c r="J702" i="3"/>
  <c r="N701" i="3"/>
  <c r="M701" i="3"/>
  <c r="L701" i="3"/>
  <c r="K701" i="3"/>
  <c r="J701" i="3"/>
  <c r="N700" i="3"/>
  <c r="M700" i="3"/>
  <c r="L700" i="3"/>
  <c r="K700" i="3"/>
  <c r="J700" i="3"/>
  <c r="N699" i="3"/>
  <c r="M699" i="3"/>
  <c r="L699" i="3"/>
  <c r="K699" i="3"/>
  <c r="J699" i="3"/>
  <c r="N698" i="3"/>
  <c r="M698" i="3"/>
  <c r="L698" i="3"/>
  <c r="K698" i="3"/>
  <c r="J698" i="3"/>
  <c r="N697" i="3"/>
  <c r="M697" i="3"/>
  <c r="L697" i="3"/>
  <c r="K697" i="3"/>
  <c r="J697" i="3"/>
  <c r="N696" i="3"/>
  <c r="M696" i="3"/>
  <c r="L696" i="3"/>
  <c r="K696" i="3"/>
  <c r="J696" i="3"/>
  <c r="N695" i="3"/>
  <c r="M695" i="3"/>
  <c r="L695" i="3"/>
  <c r="K695" i="3"/>
  <c r="J695" i="3"/>
  <c r="N694" i="3"/>
  <c r="M694" i="3"/>
  <c r="L694" i="3"/>
  <c r="K694" i="3"/>
  <c r="J694" i="3"/>
  <c r="N693" i="3"/>
  <c r="M693" i="3"/>
  <c r="L693" i="3"/>
  <c r="K693" i="3"/>
  <c r="J693" i="3"/>
  <c r="N692" i="3"/>
  <c r="M692" i="3"/>
  <c r="L692" i="3"/>
  <c r="K692" i="3"/>
  <c r="J692" i="3"/>
  <c r="N691" i="3"/>
  <c r="M691" i="3"/>
  <c r="L691" i="3"/>
  <c r="K691" i="3"/>
  <c r="J691" i="3"/>
  <c r="N690" i="3"/>
  <c r="M690" i="3"/>
  <c r="L690" i="3"/>
  <c r="K690" i="3"/>
  <c r="J690" i="3"/>
  <c r="N689" i="3"/>
  <c r="M689" i="3"/>
  <c r="L689" i="3"/>
  <c r="K689" i="3"/>
  <c r="J689" i="3"/>
  <c r="N688" i="3"/>
  <c r="M688" i="3"/>
  <c r="L688" i="3"/>
  <c r="K688" i="3"/>
  <c r="J688" i="3"/>
  <c r="N687" i="3"/>
  <c r="M687" i="3"/>
  <c r="L687" i="3"/>
  <c r="K687" i="3"/>
  <c r="J687" i="3"/>
  <c r="N686" i="3"/>
  <c r="M686" i="3"/>
  <c r="L686" i="3"/>
  <c r="K686" i="3"/>
  <c r="J686" i="3"/>
  <c r="N685" i="3"/>
  <c r="M685" i="3"/>
  <c r="L685" i="3"/>
  <c r="K685" i="3"/>
  <c r="J685" i="3"/>
  <c r="N684" i="3"/>
  <c r="M684" i="3"/>
  <c r="L684" i="3"/>
  <c r="K684" i="3"/>
  <c r="J684" i="3"/>
  <c r="N683" i="3"/>
  <c r="M683" i="3"/>
  <c r="L683" i="3"/>
  <c r="K683" i="3"/>
  <c r="J683" i="3"/>
  <c r="N682" i="3"/>
  <c r="M682" i="3"/>
  <c r="L682" i="3"/>
  <c r="K682" i="3"/>
  <c r="J682" i="3"/>
  <c r="N681" i="3"/>
  <c r="M681" i="3"/>
  <c r="L681" i="3"/>
  <c r="K681" i="3"/>
  <c r="J681" i="3"/>
  <c r="N680" i="3"/>
  <c r="M680" i="3"/>
  <c r="L680" i="3"/>
  <c r="K680" i="3"/>
  <c r="J680" i="3"/>
  <c r="N679" i="3"/>
  <c r="M679" i="3"/>
  <c r="L679" i="3"/>
  <c r="K679" i="3"/>
  <c r="J679" i="3"/>
  <c r="N678" i="3"/>
  <c r="M678" i="3"/>
  <c r="L678" i="3"/>
  <c r="K678" i="3"/>
  <c r="J678" i="3"/>
  <c r="N677" i="3"/>
  <c r="M677" i="3"/>
  <c r="L677" i="3"/>
  <c r="K677" i="3"/>
  <c r="J677" i="3"/>
  <c r="N676" i="3"/>
  <c r="M676" i="3"/>
  <c r="L676" i="3"/>
  <c r="K676" i="3"/>
  <c r="J676" i="3"/>
  <c r="N675" i="3"/>
  <c r="M675" i="3"/>
  <c r="L675" i="3"/>
  <c r="K675" i="3"/>
  <c r="J675" i="3"/>
  <c r="N674" i="3"/>
  <c r="M674" i="3"/>
  <c r="L674" i="3"/>
  <c r="K674" i="3"/>
  <c r="J674" i="3"/>
  <c r="N673" i="3"/>
  <c r="M673" i="3"/>
  <c r="L673" i="3"/>
  <c r="K673" i="3"/>
  <c r="J673" i="3"/>
  <c r="N672" i="3"/>
  <c r="M672" i="3"/>
  <c r="L672" i="3"/>
  <c r="K672" i="3"/>
  <c r="J672" i="3"/>
  <c r="N671" i="3"/>
  <c r="M671" i="3"/>
  <c r="L671" i="3"/>
  <c r="K671" i="3"/>
  <c r="J671" i="3"/>
  <c r="N670" i="3"/>
  <c r="M670" i="3"/>
  <c r="L670" i="3"/>
  <c r="K670" i="3"/>
  <c r="J670" i="3"/>
  <c r="N669" i="3"/>
  <c r="M669" i="3"/>
  <c r="L669" i="3"/>
  <c r="K669" i="3"/>
  <c r="J669" i="3"/>
  <c r="N668" i="3"/>
  <c r="M668" i="3"/>
  <c r="L668" i="3"/>
  <c r="K668" i="3"/>
  <c r="J668" i="3"/>
  <c r="N667" i="3"/>
  <c r="M667" i="3"/>
  <c r="L667" i="3"/>
  <c r="K667" i="3"/>
  <c r="J667" i="3"/>
  <c r="N666" i="3"/>
  <c r="M666" i="3"/>
  <c r="L666" i="3"/>
  <c r="K666" i="3"/>
  <c r="J666" i="3"/>
  <c r="N665" i="3"/>
  <c r="M665" i="3"/>
  <c r="L665" i="3"/>
  <c r="K665" i="3"/>
  <c r="J665" i="3"/>
  <c r="N664" i="3"/>
  <c r="M664" i="3"/>
  <c r="L664" i="3"/>
  <c r="K664" i="3"/>
  <c r="J664" i="3"/>
  <c r="N663" i="3"/>
  <c r="M663" i="3"/>
  <c r="L663" i="3"/>
  <c r="K663" i="3"/>
  <c r="J663" i="3"/>
  <c r="N662" i="3"/>
  <c r="M662" i="3"/>
  <c r="L662" i="3"/>
  <c r="K662" i="3"/>
  <c r="J662" i="3"/>
  <c r="N661" i="3"/>
  <c r="M661" i="3"/>
  <c r="L661" i="3"/>
  <c r="K661" i="3"/>
  <c r="J661" i="3"/>
  <c r="N660" i="3"/>
  <c r="M660" i="3"/>
  <c r="L660" i="3"/>
  <c r="K660" i="3"/>
  <c r="J660" i="3"/>
  <c r="N659" i="3"/>
  <c r="M659" i="3"/>
  <c r="L659" i="3"/>
  <c r="K659" i="3"/>
  <c r="J659" i="3"/>
  <c r="N658" i="3"/>
  <c r="M658" i="3"/>
  <c r="L658" i="3"/>
  <c r="K658" i="3"/>
  <c r="J658" i="3"/>
  <c r="N657" i="3"/>
  <c r="M657" i="3"/>
  <c r="L657" i="3"/>
  <c r="K657" i="3"/>
  <c r="J657" i="3"/>
  <c r="N656" i="3"/>
  <c r="M656" i="3"/>
  <c r="L656" i="3"/>
  <c r="K656" i="3"/>
  <c r="J656" i="3"/>
  <c r="N655" i="3"/>
  <c r="M655" i="3"/>
  <c r="L655" i="3"/>
  <c r="K655" i="3"/>
  <c r="J655" i="3"/>
  <c r="N654" i="3"/>
  <c r="M654" i="3"/>
  <c r="L654" i="3"/>
  <c r="K654" i="3"/>
  <c r="J654" i="3"/>
  <c r="N653" i="3"/>
  <c r="M653" i="3"/>
  <c r="L653" i="3"/>
  <c r="K653" i="3"/>
  <c r="J653" i="3"/>
  <c r="N652" i="3"/>
  <c r="M652" i="3"/>
  <c r="L652" i="3"/>
  <c r="K652" i="3"/>
  <c r="J652" i="3"/>
  <c r="N651" i="3"/>
  <c r="M651" i="3"/>
  <c r="L651" i="3"/>
  <c r="K651" i="3"/>
  <c r="J651" i="3"/>
  <c r="N650" i="3"/>
  <c r="M650" i="3"/>
  <c r="L650" i="3"/>
  <c r="K650" i="3"/>
  <c r="J650" i="3"/>
  <c r="N649" i="3"/>
  <c r="M649" i="3"/>
  <c r="L649" i="3"/>
  <c r="K649" i="3"/>
  <c r="J649" i="3"/>
  <c r="N648" i="3"/>
  <c r="M648" i="3"/>
  <c r="L648" i="3"/>
  <c r="K648" i="3"/>
  <c r="J648" i="3"/>
  <c r="N647" i="3"/>
  <c r="M647" i="3"/>
  <c r="L647" i="3"/>
  <c r="K647" i="3"/>
  <c r="J647" i="3"/>
  <c r="N646" i="3"/>
  <c r="M646" i="3"/>
  <c r="L646" i="3"/>
  <c r="K646" i="3"/>
  <c r="J646" i="3"/>
  <c r="N645" i="3"/>
  <c r="M645" i="3"/>
  <c r="L645" i="3"/>
  <c r="K645" i="3"/>
  <c r="J645" i="3"/>
  <c r="N644" i="3"/>
  <c r="M644" i="3"/>
  <c r="L644" i="3"/>
  <c r="K644" i="3"/>
  <c r="J644" i="3"/>
  <c r="N643" i="3"/>
  <c r="M643" i="3"/>
  <c r="L643" i="3"/>
  <c r="K643" i="3"/>
  <c r="J643" i="3"/>
  <c r="N642" i="3"/>
  <c r="M642" i="3"/>
  <c r="L642" i="3"/>
  <c r="K642" i="3"/>
  <c r="J642" i="3"/>
  <c r="N641" i="3"/>
  <c r="M641" i="3"/>
  <c r="L641" i="3"/>
  <c r="K641" i="3"/>
  <c r="J641" i="3"/>
  <c r="N640" i="3"/>
  <c r="M640" i="3"/>
  <c r="L640" i="3"/>
  <c r="K640" i="3"/>
  <c r="J640" i="3"/>
  <c r="N639" i="3"/>
  <c r="M639" i="3"/>
  <c r="L639" i="3"/>
  <c r="K639" i="3"/>
  <c r="J639" i="3"/>
  <c r="N638" i="3"/>
  <c r="M638" i="3"/>
  <c r="L638" i="3"/>
  <c r="K638" i="3"/>
  <c r="J638" i="3"/>
  <c r="N637" i="3"/>
  <c r="M637" i="3"/>
  <c r="L637" i="3"/>
  <c r="K637" i="3"/>
  <c r="J637" i="3"/>
  <c r="N636" i="3"/>
  <c r="M636" i="3"/>
  <c r="L636" i="3"/>
  <c r="K636" i="3"/>
  <c r="J636" i="3"/>
  <c r="N635" i="3"/>
  <c r="M635" i="3"/>
  <c r="L635" i="3"/>
  <c r="K635" i="3"/>
  <c r="J635" i="3"/>
  <c r="N634" i="3"/>
  <c r="M634" i="3"/>
  <c r="L634" i="3"/>
  <c r="K634" i="3"/>
  <c r="J634" i="3"/>
  <c r="N633" i="3"/>
  <c r="M633" i="3"/>
  <c r="L633" i="3"/>
  <c r="K633" i="3"/>
  <c r="J633" i="3"/>
  <c r="N632" i="3"/>
  <c r="M632" i="3"/>
  <c r="L632" i="3"/>
  <c r="K632" i="3"/>
  <c r="J632" i="3"/>
  <c r="N631" i="3"/>
  <c r="M631" i="3"/>
  <c r="L631" i="3"/>
  <c r="K631" i="3"/>
  <c r="J631" i="3"/>
  <c r="N630" i="3"/>
  <c r="M630" i="3"/>
  <c r="L630" i="3"/>
  <c r="K630" i="3"/>
  <c r="J630" i="3"/>
  <c r="N629" i="3"/>
  <c r="M629" i="3"/>
  <c r="L629" i="3"/>
  <c r="K629" i="3"/>
  <c r="J629" i="3"/>
  <c r="N628" i="3"/>
  <c r="M628" i="3"/>
  <c r="L628" i="3"/>
  <c r="K628" i="3"/>
  <c r="J628" i="3"/>
  <c r="N627" i="3"/>
  <c r="M627" i="3"/>
  <c r="L627" i="3"/>
  <c r="K627" i="3"/>
  <c r="J627" i="3"/>
  <c r="N626" i="3"/>
  <c r="M626" i="3"/>
  <c r="L626" i="3"/>
  <c r="K626" i="3"/>
  <c r="J626" i="3"/>
  <c r="N625" i="3"/>
  <c r="M625" i="3"/>
  <c r="L625" i="3"/>
  <c r="K625" i="3"/>
  <c r="J625" i="3"/>
  <c r="N624" i="3"/>
  <c r="M624" i="3"/>
  <c r="L624" i="3"/>
  <c r="K624" i="3"/>
  <c r="J624" i="3"/>
  <c r="N623" i="3"/>
  <c r="M623" i="3"/>
  <c r="L623" i="3"/>
  <c r="K623" i="3"/>
  <c r="J623" i="3"/>
  <c r="N622" i="3"/>
  <c r="M622" i="3"/>
  <c r="L622" i="3"/>
  <c r="K622" i="3"/>
  <c r="J622" i="3"/>
  <c r="N621" i="3"/>
  <c r="M621" i="3"/>
  <c r="L621" i="3"/>
  <c r="K621" i="3"/>
  <c r="J621" i="3"/>
  <c r="N620" i="3"/>
  <c r="M620" i="3"/>
  <c r="L620" i="3"/>
  <c r="K620" i="3"/>
  <c r="J620" i="3"/>
  <c r="N619" i="3"/>
  <c r="M619" i="3"/>
  <c r="L619" i="3"/>
  <c r="K619" i="3"/>
  <c r="J619" i="3"/>
  <c r="N618" i="3"/>
  <c r="M618" i="3"/>
  <c r="L618" i="3"/>
  <c r="K618" i="3"/>
  <c r="J618" i="3"/>
  <c r="N617" i="3"/>
  <c r="M617" i="3"/>
  <c r="L617" i="3"/>
  <c r="K617" i="3"/>
  <c r="J617" i="3"/>
  <c r="N616" i="3"/>
  <c r="M616" i="3"/>
  <c r="L616" i="3"/>
  <c r="K616" i="3"/>
  <c r="J616" i="3"/>
  <c r="N615" i="3"/>
  <c r="M615" i="3"/>
  <c r="L615" i="3"/>
  <c r="K615" i="3"/>
  <c r="J615" i="3"/>
  <c r="N614" i="3"/>
  <c r="M614" i="3"/>
  <c r="L614" i="3"/>
  <c r="K614" i="3"/>
  <c r="J614" i="3"/>
  <c r="N613" i="3"/>
  <c r="M613" i="3"/>
  <c r="L613" i="3"/>
  <c r="K613" i="3"/>
  <c r="J613" i="3"/>
  <c r="N612" i="3"/>
  <c r="M612" i="3"/>
  <c r="L612" i="3"/>
  <c r="K612" i="3"/>
  <c r="J612" i="3"/>
  <c r="N611" i="3"/>
  <c r="M611" i="3"/>
  <c r="L611" i="3"/>
  <c r="K611" i="3"/>
  <c r="J611" i="3"/>
  <c r="N610" i="3"/>
  <c r="M610" i="3"/>
  <c r="L610" i="3"/>
  <c r="K610" i="3"/>
  <c r="J610" i="3"/>
  <c r="N609" i="3"/>
  <c r="M609" i="3"/>
  <c r="L609" i="3"/>
  <c r="K609" i="3"/>
  <c r="J609" i="3"/>
  <c r="N608" i="3"/>
  <c r="M608" i="3"/>
  <c r="L608" i="3"/>
  <c r="K608" i="3"/>
  <c r="J608" i="3"/>
  <c r="N607" i="3"/>
  <c r="M607" i="3"/>
  <c r="L607" i="3"/>
  <c r="K607" i="3"/>
  <c r="J607" i="3"/>
  <c r="N606" i="3"/>
  <c r="M606" i="3"/>
  <c r="L606" i="3"/>
  <c r="K606" i="3"/>
  <c r="J606" i="3"/>
  <c r="N605" i="3"/>
  <c r="M605" i="3"/>
  <c r="L605" i="3"/>
  <c r="K605" i="3"/>
  <c r="J605" i="3"/>
  <c r="N604" i="3"/>
  <c r="M604" i="3"/>
  <c r="L604" i="3"/>
  <c r="K604" i="3"/>
  <c r="J604" i="3"/>
  <c r="N603" i="3"/>
  <c r="M603" i="3"/>
  <c r="L603" i="3"/>
  <c r="K603" i="3"/>
  <c r="J603" i="3"/>
  <c r="N602" i="3"/>
  <c r="M602" i="3"/>
  <c r="L602" i="3"/>
  <c r="K602" i="3"/>
  <c r="J602" i="3"/>
  <c r="N601" i="3"/>
  <c r="M601" i="3"/>
  <c r="L601" i="3"/>
  <c r="K601" i="3"/>
  <c r="J601" i="3"/>
  <c r="N600" i="3"/>
  <c r="M600" i="3"/>
  <c r="L600" i="3"/>
  <c r="K600" i="3"/>
  <c r="J600" i="3"/>
  <c r="N599" i="3"/>
  <c r="M599" i="3"/>
  <c r="L599" i="3"/>
  <c r="K599" i="3"/>
  <c r="J599" i="3"/>
  <c r="N598" i="3"/>
  <c r="M598" i="3"/>
  <c r="L598" i="3"/>
  <c r="K598" i="3"/>
  <c r="J598" i="3"/>
  <c r="N597" i="3"/>
  <c r="M597" i="3"/>
  <c r="L597" i="3"/>
  <c r="K597" i="3"/>
  <c r="J597" i="3"/>
  <c r="N596" i="3"/>
  <c r="M596" i="3"/>
  <c r="L596" i="3"/>
  <c r="K596" i="3"/>
  <c r="J596" i="3"/>
  <c r="N595" i="3"/>
  <c r="M595" i="3"/>
  <c r="L595" i="3"/>
  <c r="K595" i="3"/>
  <c r="J595" i="3"/>
  <c r="N594" i="3"/>
  <c r="M594" i="3"/>
  <c r="L594" i="3"/>
  <c r="K594" i="3"/>
  <c r="J594" i="3"/>
  <c r="N593" i="3"/>
  <c r="M593" i="3"/>
  <c r="L593" i="3"/>
  <c r="K593" i="3"/>
  <c r="J593" i="3"/>
  <c r="N592" i="3"/>
  <c r="M592" i="3"/>
  <c r="L592" i="3"/>
  <c r="K592" i="3"/>
  <c r="J592" i="3"/>
  <c r="N591" i="3"/>
  <c r="M591" i="3"/>
  <c r="L591" i="3"/>
  <c r="K591" i="3"/>
  <c r="J591" i="3"/>
  <c r="N590" i="3"/>
  <c r="M590" i="3"/>
  <c r="L590" i="3"/>
  <c r="K590" i="3"/>
  <c r="J590" i="3"/>
  <c r="N589" i="3"/>
  <c r="M589" i="3"/>
  <c r="L589" i="3"/>
  <c r="K589" i="3"/>
  <c r="J589" i="3"/>
  <c r="N588" i="3"/>
  <c r="M588" i="3"/>
  <c r="L588" i="3"/>
  <c r="K588" i="3"/>
  <c r="J588" i="3"/>
  <c r="N587" i="3"/>
  <c r="M587" i="3"/>
  <c r="L587" i="3"/>
  <c r="K587" i="3"/>
  <c r="J587" i="3"/>
  <c r="N586" i="3"/>
  <c r="M586" i="3"/>
  <c r="L586" i="3"/>
  <c r="K586" i="3"/>
  <c r="J586" i="3"/>
  <c r="N585" i="3"/>
  <c r="M585" i="3"/>
  <c r="L585" i="3"/>
  <c r="K585" i="3"/>
  <c r="J585" i="3"/>
  <c r="N584" i="3"/>
  <c r="M584" i="3"/>
  <c r="L584" i="3"/>
  <c r="K584" i="3"/>
  <c r="J584" i="3"/>
  <c r="N583" i="3"/>
  <c r="M583" i="3"/>
  <c r="L583" i="3"/>
  <c r="K583" i="3"/>
  <c r="J583" i="3"/>
  <c r="N582" i="3"/>
  <c r="M582" i="3"/>
  <c r="L582" i="3"/>
  <c r="K582" i="3"/>
  <c r="J582" i="3"/>
  <c r="N581" i="3"/>
  <c r="M581" i="3"/>
  <c r="L581" i="3"/>
  <c r="K581" i="3"/>
  <c r="J581" i="3"/>
  <c r="N580" i="3"/>
  <c r="M580" i="3"/>
  <c r="L580" i="3"/>
  <c r="K580" i="3"/>
  <c r="J580" i="3"/>
  <c r="N579" i="3"/>
  <c r="M579" i="3"/>
  <c r="L579" i="3"/>
  <c r="K579" i="3"/>
  <c r="J579" i="3"/>
  <c r="N578" i="3"/>
  <c r="M578" i="3"/>
  <c r="L578" i="3"/>
  <c r="K578" i="3"/>
  <c r="J578" i="3"/>
  <c r="N577" i="3"/>
  <c r="M577" i="3"/>
  <c r="L577" i="3"/>
  <c r="K577" i="3"/>
  <c r="J577" i="3"/>
  <c r="N576" i="3"/>
  <c r="M576" i="3"/>
  <c r="L576" i="3"/>
  <c r="K576" i="3"/>
  <c r="J576" i="3"/>
  <c r="N575" i="3"/>
  <c r="M575" i="3"/>
  <c r="L575" i="3"/>
  <c r="K575" i="3"/>
  <c r="J575" i="3"/>
  <c r="N574" i="3"/>
  <c r="M574" i="3"/>
  <c r="L574" i="3"/>
  <c r="K574" i="3"/>
  <c r="J574" i="3"/>
  <c r="N573" i="3"/>
  <c r="M573" i="3"/>
  <c r="L573" i="3"/>
  <c r="K573" i="3"/>
  <c r="J573" i="3"/>
  <c r="N572" i="3"/>
  <c r="M572" i="3"/>
  <c r="L572" i="3"/>
  <c r="K572" i="3"/>
  <c r="J572" i="3"/>
  <c r="N571" i="3"/>
  <c r="M571" i="3"/>
  <c r="L571" i="3"/>
  <c r="K571" i="3"/>
  <c r="J571" i="3"/>
  <c r="N570" i="3"/>
  <c r="M570" i="3"/>
  <c r="L570" i="3"/>
  <c r="K570" i="3"/>
  <c r="J570" i="3"/>
  <c r="N569" i="3"/>
  <c r="M569" i="3"/>
  <c r="L569" i="3"/>
  <c r="K569" i="3"/>
  <c r="J569" i="3"/>
  <c r="N568" i="3"/>
  <c r="M568" i="3"/>
  <c r="L568" i="3"/>
  <c r="K568" i="3"/>
  <c r="J568" i="3"/>
  <c r="N567" i="3"/>
  <c r="M567" i="3"/>
  <c r="L567" i="3"/>
  <c r="K567" i="3"/>
  <c r="J567" i="3"/>
  <c r="N566" i="3"/>
  <c r="M566" i="3"/>
  <c r="L566" i="3"/>
  <c r="K566" i="3"/>
  <c r="J566" i="3"/>
  <c r="N565" i="3"/>
  <c r="M565" i="3"/>
  <c r="L565" i="3"/>
  <c r="K565" i="3"/>
  <c r="J565" i="3"/>
  <c r="N564" i="3"/>
  <c r="M564" i="3"/>
  <c r="L564" i="3"/>
  <c r="K564" i="3"/>
  <c r="J564" i="3"/>
  <c r="N563" i="3"/>
  <c r="M563" i="3"/>
  <c r="L563" i="3"/>
  <c r="K563" i="3"/>
  <c r="J563" i="3"/>
  <c r="N562" i="3"/>
  <c r="M562" i="3"/>
  <c r="L562" i="3"/>
  <c r="K562" i="3"/>
  <c r="J562" i="3"/>
  <c r="N561" i="3"/>
  <c r="M561" i="3"/>
  <c r="L561" i="3"/>
  <c r="K561" i="3"/>
  <c r="J561" i="3"/>
  <c r="N560" i="3"/>
  <c r="M560" i="3"/>
  <c r="L560" i="3"/>
  <c r="K560" i="3"/>
  <c r="J560" i="3"/>
  <c r="N559" i="3"/>
  <c r="M559" i="3"/>
  <c r="L559" i="3"/>
  <c r="K559" i="3"/>
  <c r="J559" i="3"/>
  <c r="N558" i="3"/>
  <c r="M558" i="3"/>
  <c r="L558" i="3"/>
  <c r="K558" i="3"/>
  <c r="J558" i="3"/>
  <c r="N557" i="3"/>
  <c r="M557" i="3"/>
  <c r="L557" i="3"/>
  <c r="K557" i="3"/>
  <c r="J557" i="3"/>
  <c r="N556" i="3"/>
  <c r="M556" i="3"/>
  <c r="L556" i="3"/>
  <c r="K556" i="3"/>
  <c r="J556" i="3"/>
  <c r="N555" i="3"/>
  <c r="M555" i="3"/>
  <c r="L555" i="3"/>
  <c r="K555" i="3"/>
  <c r="J555" i="3"/>
  <c r="N554" i="3"/>
  <c r="M554" i="3"/>
  <c r="L554" i="3"/>
  <c r="K554" i="3"/>
  <c r="J554" i="3"/>
  <c r="N553" i="3"/>
  <c r="M553" i="3"/>
  <c r="L553" i="3"/>
  <c r="K553" i="3"/>
  <c r="J553" i="3"/>
  <c r="N552" i="3"/>
  <c r="M552" i="3"/>
  <c r="L552" i="3"/>
  <c r="K552" i="3"/>
  <c r="J552" i="3"/>
  <c r="N551" i="3"/>
  <c r="M551" i="3"/>
  <c r="L551" i="3"/>
  <c r="K551" i="3"/>
  <c r="J551" i="3"/>
  <c r="N550" i="3"/>
  <c r="M550" i="3"/>
  <c r="L550" i="3"/>
  <c r="K550" i="3"/>
  <c r="J550" i="3"/>
  <c r="N549" i="3"/>
  <c r="M549" i="3"/>
  <c r="L549" i="3"/>
  <c r="K549" i="3"/>
  <c r="J549" i="3"/>
  <c r="N548" i="3"/>
  <c r="M548" i="3"/>
  <c r="L548" i="3"/>
  <c r="K548" i="3"/>
  <c r="J548" i="3"/>
  <c r="N547" i="3"/>
  <c r="M547" i="3"/>
  <c r="L547" i="3"/>
  <c r="K547" i="3"/>
  <c r="J547" i="3"/>
  <c r="N546" i="3"/>
  <c r="M546" i="3"/>
  <c r="L546" i="3"/>
  <c r="K546" i="3"/>
  <c r="J546" i="3"/>
  <c r="N545" i="3"/>
  <c r="M545" i="3"/>
  <c r="L545" i="3"/>
  <c r="K545" i="3"/>
  <c r="J545" i="3"/>
  <c r="N544" i="3"/>
  <c r="M544" i="3"/>
  <c r="L544" i="3"/>
  <c r="K544" i="3"/>
  <c r="J544" i="3"/>
  <c r="N543" i="3"/>
  <c r="M543" i="3"/>
  <c r="L543" i="3"/>
  <c r="K543" i="3"/>
  <c r="J543" i="3"/>
  <c r="N542" i="3"/>
  <c r="M542" i="3"/>
  <c r="L542" i="3"/>
  <c r="K542" i="3"/>
  <c r="J542" i="3"/>
  <c r="N541" i="3"/>
  <c r="M541" i="3"/>
  <c r="L541" i="3"/>
  <c r="K541" i="3"/>
  <c r="J541" i="3"/>
  <c r="N540" i="3"/>
  <c r="M540" i="3"/>
  <c r="L540" i="3"/>
  <c r="K540" i="3"/>
  <c r="J540" i="3"/>
  <c r="N539" i="3"/>
  <c r="M539" i="3"/>
  <c r="L539" i="3"/>
  <c r="K539" i="3"/>
  <c r="J539" i="3"/>
  <c r="N538" i="3"/>
  <c r="M538" i="3"/>
  <c r="L538" i="3"/>
  <c r="K538" i="3"/>
  <c r="J538" i="3"/>
  <c r="N537" i="3"/>
  <c r="M537" i="3"/>
  <c r="L537" i="3"/>
  <c r="K537" i="3"/>
  <c r="J537" i="3"/>
  <c r="N536" i="3"/>
  <c r="M536" i="3"/>
  <c r="L536" i="3"/>
  <c r="K536" i="3"/>
  <c r="J536" i="3"/>
  <c r="N535" i="3"/>
  <c r="M535" i="3"/>
  <c r="L535" i="3"/>
  <c r="K535" i="3"/>
  <c r="J535" i="3"/>
  <c r="N534" i="3"/>
  <c r="M534" i="3"/>
  <c r="L534" i="3"/>
  <c r="K534" i="3"/>
  <c r="J534" i="3"/>
  <c r="N533" i="3"/>
  <c r="M533" i="3"/>
  <c r="L533" i="3"/>
  <c r="K533" i="3"/>
  <c r="J533" i="3"/>
  <c r="N532" i="3"/>
  <c r="M532" i="3"/>
  <c r="L532" i="3"/>
  <c r="K532" i="3"/>
  <c r="J532" i="3"/>
  <c r="N531" i="3"/>
  <c r="M531" i="3"/>
  <c r="L531" i="3"/>
  <c r="K531" i="3"/>
  <c r="J531" i="3"/>
  <c r="N530" i="3"/>
  <c r="M530" i="3"/>
  <c r="L530" i="3"/>
  <c r="K530" i="3"/>
  <c r="J530" i="3"/>
  <c r="N529" i="3"/>
  <c r="M529" i="3"/>
  <c r="L529" i="3"/>
  <c r="K529" i="3"/>
  <c r="J529" i="3"/>
  <c r="N528" i="3"/>
  <c r="M528" i="3"/>
  <c r="L528" i="3"/>
  <c r="K528" i="3"/>
  <c r="J528" i="3"/>
  <c r="N527" i="3"/>
  <c r="M527" i="3"/>
  <c r="L527" i="3"/>
  <c r="K527" i="3"/>
  <c r="J527" i="3"/>
  <c r="N526" i="3"/>
  <c r="M526" i="3"/>
  <c r="L526" i="3"/>
  <c r="K526" i="3"/>
  <c r="J526" i="3"/>
  <c r="N525" i="3"/>
  <c r="M525" i="3"/>
  <c r="L525" i="3"/>
  <c r="K525" i="3"/>
  <c r="J525" i="3"/>
  <c r="N524" i="3"/>
  <c r="M524" i="3"/>
  <c r="L524" i="3"/>
  <c r="K524" i="3"/>
  <c r="J524" i="3"/>
  <c r="N523" i="3"/>
  <c r="M523" i="3"/>
  <c r="L523" i="3"/>
  <c r="K523" i="3"/>
  <c r="J523" i="3"/>
  <c r="N522" i="3"/>
  <c r="M522" i="3"/>
  <c r="L522" i="3"/>
  <c r="K522" i="3"/>
  <c r="J522" i="3"/>
  <c r="N521" i="3"/>
  <c r="M521" i="3"/>
  <c r="L521" i="3"/>
  <c r="K521" i="3"/>
  <c r="J521" i="3"/>
  <c r="N520" i="3"/>
  <c r="M520" i="3"/>
  <c r="L520" i="3"/>
  <c r="K520" i="3"/>
  <c r="J520" i="3"/>
  <c r="N519" i="3"/>
  <c r="M519" i="3"/>
  <c r="L519" i="3"/>
  <c r="K519" i="3"/>
  <c r="J519" i="3"/>
  <c r="N518" i="3"/>
  <c r="M518" i="3"/>
  <c r="L518" i="3"/>
  <c r="K518" i="3"/>
  <c r="J518" i="3"/>
  <c r="N517" i="3"/>
  <c r="M517" i="3"/>
  <c r="L517" i="3"/>
  <c r="K517" i="3"/>
  <c r="J517" i="3"/>
  <c r="N516" i="3"/>
  <c r="M516" i="3"/>
  <c r="L516" i="3"/>
  <c r="K516" i="3"/>
  <c r="J516" i="3"/>
  <c r="N515" i="3"/>
  <c r="M515" i="3"/>
  <c r="L515" i="3"/>
  <c r="K515" i="3"/>
  <c r="J515" i="3"/>
  <c r="N514" i="3"/>
  <c r="M514" i="3"/>
  <c r="L514" i="3"/>
  <c r="K514" i="3"/>
  <c r="J514" i="3"/>
  <c r="N513" i="3"/>
  <c r="M513" i="3"/>
  <c r="L513" i="3"/>
  <c r="K513" i="3"/>
  <c r="J513" i="3"/>
  <c r="N512" i="3"/>
  <c r="M512" i="3"/>
  <c r="L512" i="3"/>
  <c r="K512" i="3"/>
  <c r="J512" i="3"/>
  <c r="N511" i="3"/>
  <c r="M511" i="3"/>
  <c r="L511" i="3"/>
  <c r="K511" i="3"/>
  <c r="J511" i="3"/>
  <c r="N510" i="3"/>
  <c r="M510" i="3"/>
  <c r="L510" i="3"/>
  <c r="K510" i="3"/>
  <c r="J510" i="3"/>
  <c r="N509" i="3"/>
  <c r="M509" i="3"/>
  <c r="L509" i="3"/>
  <c r="K509" i="3"/>
  <c r="J509" i="3"/>
  <c r="N508" i="3"/>
  <c r="M508" i="3"/>
  <c r="L508" i="3"/>
  <c r="K508" i="3"/>
  <c r="J508" i="3"/>
  <c r="N507" i="3"/>
  <c r="M507" i="3"/>
  <c r="L507" i="3"/>
  <c r="K507" i="3"/>
  <c r="J507" i="3"/>
  <c r="N506" i="3"/>
  <c r="M506" i="3"/>
  <c r="L506" i="3"/>
  <c r="K506" i="3"/>
  <c r="J506" i="3"/>
  <c r="N505" i="3"/>
  <c r="M505" i="3"/>
  <c r="L505" i="3"/>
  <c r="K505" i="3"/>
  <c r="J505" i="3"/>
  <c r="N504" i="3"/>
  <c r="M504" i="3"/>
  <c r="L504" i="3"/>
  <c r="K504" i="3"/>
  <c r="J504" i="3"/>
  <c r="N503" i="3"/>
  <c r="M503" i="3"/>
  <c r="L503" i="3"/>
  <c r="K503" i="3"/>
  <c r="J503" i="3"/>
  <c r="N502" i="3"/>
  <c r="M502" i="3"/>
  <c r="L502" i="3"/>
  <c r="K502" i="3"/>
  <c r="J502" i="3"/>
  <c r="N501" i="3"/>
  <c r="M501" i="3"/>
  <c r="L501" i="3"/>
  <c r="K501" i="3"/>
  <c r="J501" i="3"/>
  <c r="N500" i="3"/>
  <c r="M500" i="3"/>
  <c r="L500" i="3"/>
  <c r="K500" i="3"/>
  <c r="J500" i="3"/>
  <c r="N499" i="3"/>
  <c r="M499" i="3"/>
  <c r="L499" i="3"/>
  <c r="K499" i="3"/>
  <c r="J499" i="3"/>
  <c r="N498" i="3"/>
  <c r="M498" i="3"/>
  <c r="L498" i="3"/>
  <c r="K498" i="3"/>
  <c r="J498" i="3"/>
  <c r="N497" i="3"/>
  <c r="M497" i="3"/>
  <c r="L497" i="3"/>
  <c r="K497" i="3"/>
  <c r="J497" i="3"/>
  <c r="N496" i="3"/>
  <c r="M496" i="3"/>
  <c r="L496" i="3"/>
  <c r="K496" i="3"/>
  <c r="J496" i="3"/>
  <c r="N495" i="3"/>
  <c r="M495" i="3"/>
  <c r="L495" i="3"/>
  <c r="K495" i="3"/>
  <c r="J495" i="3"/>
  <c r="N494" i="3"/>
  <c r="M494" i="3"/>
  <c r="L494" i="3"/>
  <c r="K494" i="3"/>
  <c r="J494" i="3"/>
  <c r="N493" i="3"/>
  <c r="M493" i="3"/>
  <c r="L493" i="3"/>
  <c r="K493" i="3"/>
  <c r="J493" i="3"/>
  <c r="N492" i="3"/>
  <c r="M492" i="3"/>
  <c r="L492" i="3"/>
  <c r="K492" i="3"/>
  <c r="J492" i="3"/>
  <c r="N491" i="3"/>
  <c r="M491" i="3"/>
  <c r="L491" i="3"/>
  <c r="K491" i="3"/>
  <c r="J491" i="3"/>
  <c r="N490" i="3"/>
  <c r="M490" i="3"/>
  <c r="L490" i="3"/>
  <c r="K490" i="3"/>
  <c r="J490" i="3"/>
  <c r="N489" i="3"/>
  <c r="M489" i="3"/>
  <c r="L489" i="3"/>
  <c r="K489" i="3"/>
  <c r="J489" i="3"/>
  <c r="N488" i="3"/>
  <c r="M488" i="3"/>
  <c r="L488" i="3"/>
  <c r="K488" i="3"/>
  <c r="J488" i="3"/>
  <c r="N487" i="3"/>
  <c r="M487" i="3"/>
  <c r="L487" i="3"/>
  <c r="K487" i="3"/>
  <c r="J487" i="3"/>
  <c r="N486" i="3"/>
  <c r="M486" i="3"/>
  <c r="L486" i="3"/>
  <c r="K486" i="3"/>
  <c r="J486" i="3"/>
  <c r="N485" i="3"/>
  <c r="M485" i="3"/>
  <c r="L485" i="3"/>
  <c r="K485" i="3"/>
  <c r="J485" i="3"/>
  <c r="N484" i="3"/>
  <c r="M484" i="3"/>
  <c r="L484" i="3"/>
  <c r="K484" i="3"/>
  <c r="J484" i="3"/>
  <c r="N483" i="3"/>
  <c r="M483" i="3"/>
  <c r="L483" i="3"/>
  <c r="K483" i="3"/>
  <c r="J483" i="3"/>
  <c r="N482" i="3"/>
  <c r="M482" i="3"/>
  <c r="L482" i="3"/>
  <c r="K482" i="3"/>
  <c r="J482" i="3"/>
  <c r="N481" i="3"/>
  <c r="M481" i="3"/>
  <c r="L481" i="3"/>
  <c r="K481" i="3"/>
  <c r="J481" i="3"/>
  <c r="N480" i="3"/>
  <c r="M480" i="3"/>
  <c r="L480" i="3"/>
  <c r="K480" i="3"/>
  <c r="J480" i="3"/>
  <c r="N479" i="3"/>
  <c r="M479" i="3"/>
  <c r="L479" i="3"/>
  <c r="K479" i="3"/>
  <c r="J479" i="3"/>
  <c r="N478" i="3"/>
  <c r="M478" i="3"/>
  <c r="L478" i="3"/>
  <c r="K478" i="3"/>
  <c r="J478" i="3"/>
  <c r="N477" i="3"/>
  <c r="M477" i="3"/>
  <c r="L477" i="3"/>
  <c r="K477" i="3"/>
  <c r="J477" i="3"/>
  <c r="N476" i="3"/>
  <c r="M476" i="3"/>
  <c r="L476" i="3"/>
  <c r="K476" i="3"/>
  <c r="J476" i="3"/>
  <c r="N475" i="3"/>
  <c r="M475" i="3"/>
  <c r="L475" i="3"/>
  <c r="K475" i="3"/>
  <c r="J475" i="3"/>
  <c r="N474" i="3"/>
  <c r="M474" i="3"/>
  <c r="L474" i="3"/>
  <c r="K474" i="3"/>
  <c r="J474" i="3"/>
  <c r="N473" i="3"/>
  <c r="M473" i="3"/>
  <c r="L473" i="3"/>
  <c r="K473" i="3"/>
  <c r="J473" i="3"/>
  <c r="N472" i="3"/>
  <c r="M472" i="3"/>
  <c r="L472" i="3"/>
  <c r="K472" i="3"/>
  <c r="J472" i="3"/>
  <c r="N471" i="3"/>
  <c r="M471" i="3"/>
  <c r="L471" i="3"/>
  <c r="K471" i="3"/>
  <c r="J471" i="3"/>
  <c r="N470" i="3"/>
  <c r="M470" i="3"/>
  <c r="L470" i="3"/>
  <c r="K470" i="3"/>
  <c r="J470" i="3"/>
  <c r="N469" i="3"/>
  <c r="M469" i="3"/>
  <c r="L469" i="3"/>
  <c r="K469" i="3"/>
  <c r="J469" i="3"/>
  <c r="N468" i="3"/>
  <c r="M468" i="3"/>
  <c r="L468" i="3"/>
  <c r="K468" i="3"/>
  <c r="J468" i="3"/>
  <c r="N467" i="3"/>
  <c r="M467" i="3"/>
  <c r="L467" i="3"/>
  <c r="K467" i="3"/>
  <c r="J467" i="3"/>
  <c r="N466" i="3"/>
  <c r="M466" i="3"/>
  <c r="L466" i="3"/>
  <c r="K466" i="3"/>
  <c r="J466" i="3"/>
  <c r="N465" i="3"/>
  <c r="M465" i="3"/>
  <c r="L465" i="3"/>
  <c r="K465" i="3"/>
  <c r="J465" i="3"/>
  <c r="N464" i="3"/>
  <c r="M464" i="3"/>
  <c r="L464" i="3"/>
  <c r="K464" i="3"/>
  <c r="J464" i="3"/>
  <c r="N463" i="3"/>
  <c r="M463" i="3"/>
  <c r="L463" i="3"/>
  <c r="K463" i="3"/>
  <c r="J463" i="3"/>
  <c r="N462" i="3"/>
  <c r="M462" i="3"/>
  <c r="L462" i="3"/>
  <c r="K462" i="3"/>
  <c r="J462" i="3"/>
  <c r="N461" i="3"/>
  <c r="M461" i="3"/>
  <c r="L461" i="3"/>
  <c r="K461" i="3"/>
  <c r="J461" i="3"/>
  <c r="N460" i="3"/>
  <c r="M460" i="3"/>
  <c r="L460" i="3"/>
  <c r="K460" i="3"/>
  <c r="J460" i="3"/>
  <c r="N459" i="3"/>
  <c r="M459" i="3"/>
  <c r="L459" i="3"/>
  <c r="K459" i="3"/>
  <c r="J459" i="3"/>
  <c r="N458" i="3"/>
  <c r="M458" i="3"/>
  <c r="L458" i="3"/>
  <c r="K458" i="3"/>
  <c r="J458" i="3"/>
  <c r="N457" i="3"/>
  <c r="M457" i="3"/>
  <c r="L457" i="3"/>
  <c r="K457" i="3"/>
  <c r="J457" i="3"/>
  <c r="N456" i="3"/>
  <c r="M456" i="3"/>
  <c r="L456" i="3"/>
  <c r="K456" i="3"/>
  <c r="J456" i="3"/>
  <c r="N455" i="3"/>
  <c r="M455" i="3"/>
  <c r="L455" i="3"/>
  <c r="K455" i="3"/>
  <c r="J455" i="3"/>
  <c r="N454" i="3"/>
  <c r="M454" i="3"/>
  <c r="L454" i="3"/>
  <c r="K454" i="3"/>
  <c r="J454" i="3"/>
  <c r="N453" i="3"/>
  <c r="M453" i="3"/>
  <c r="L453" i="3"/>
  <c r="K453" i="3"/>
  <c r="J453" i="3"/>
  <c r="N452" i="3"/>
  <c r="M452" i="3"/>
  <c r="L452" i="3"/>
  <c r="K452" i="3"/>
  <c r="J452" i="3"/>
  <c r="N451" i="3"/>
  <c r="M451" i="3"/>
  <c r="L451" i="3"/>
  <c r="K451" i="3"/>
  <c r="J451" i="3"/>
  <c r="N450" i="3"/>
  <c r="M450" i="3"/>
  <c r="L450" i="3"/>
  <c r="K450" i="3"/>
  <c r="J450" i="3"/>
  <c r="N449" i="3"/>
  <c r="M449" i="3"/>
  <c r="L449" i="3"/>
  <c r="K449" i="3"/>
  <c r="J449" i="3"/>
  <c r="N448" i="3"/>
  <c r="M448" i="3"/>
  <c r="L448" i="3"/>
  <c r="K448" i="3"/>
  <c r="J448" i="3"/>
  <c r="N447" i="3"/>
  <c r="M447" i="3"/>
  <c r="L447" i="3"/>
  <c r="K447" i="3"/>
  <c r="J447" i="3"/>
  <c r="N446" i="3"/>
  <c r="M446" i="3"/>
  <c r="L446" i="3"/>
  <c r="K446" i="3"/>
  <c r="J446" i="3"/>
  <c r="N445" i="3"/>
  <c r="M445" i="3"/>
  <c r="L445" i="3"/>
  <c r="K445" i="3"/>
  <c r="J445" i="3"/>
  <c r="N444" i="3"/>
  <c r="M444" i="3"/>
  <c r="L444" i="3"/>
  <c r="K444" i="3"/>
  <c r="J444" i="3"/>
  <c r="N443" i="3"/>
  <c r="M443" i="3"/>
  <c r="L443" i="3"/>
  <c r="K443" i="3"/>
  <c r="J443" i="3"/>
  <c r="N442" i="3"/>
  <c r="M442" i="3"/>
  <c r="L442" i="3"/>
  <c r="K442" i="3"/>
  <c r="J442" i="3"/>
  <c r="N441" i="3"/>
  <c r="M441" i="3"/>
  <c r="L441" i="3"/>
  <c r="K441" i="3"/>
  <c r="J441" i="3"/>
  <c r="N440" i="3"/>
  <c r="M440" i="3"/>
  <c r="L440" i="3"/>
  <c r="K440" i="3"/>
  <c r="J440" i="3"/>
  <c r="N439" i="3"/>
  <c r="M439" i="3"/>
  <c r="L439" i="3"/>
  <c r="K439" i="3"/>
  <c r="J439" i="3"/>
  <c r="N438" i="3"/>
  <c r="M438" i="3"/>
  <c r="L438" i="3"/>
  <c r="K438" i="3"/>
  <c r="J438" i="3"/>
  <c r="N437" i="3"/>
  <c r="M437" i="3"/>
  <c r="L437" i="3"/>
  <c r="K437" i="3"/>
  <c r="J437" i="3"/>
  <c r="N436" i="3"/>
  <c r="M436" i="3"/>
  <c r="L436" i="3"/>
  <c r="K436" i="3"/>
  <c r="J436" i="3"/>
  <c r="N435" i="3"/>
  <c r="M435" i="3"/>
  <c r="L435" i="3"/>
  <c r="K435" i="3"/>
  <c r="J435" i="3"/>
  <c r="N434" i="3"/>
  <c r="M434" i="3"/>
  <c r="L434" i="3"/>
  <c r="K434" i="3"/>
  <c r="J434" i="3"/>
  <c r="N433" i="3"/>
  <c r="M433" i="3"/>
  <c r="L433" i="3"/>
  <c r="K433" i="3"/>
  <c r="J433" i="3"/>
  <c r="N432" i="3"/>
  <c r="M432" i="3"/>
  <c r="L432" i="3"/>
  <c r="K432" i="3"/>
  <c r="J432" i="3"/>
  <c r="N431" i="3"/>
  <c r="M431" i="3"/>
  <c r="L431" i="3"/>
  <c r="K431" i="3"/>
  <c r="J431" i="3"/>
  <c r="N430" i="3"/>
  <c r="M430" i="3"/>
  <c r="L430" i="3"/>
  <c r="K430" i="3"/>
  <c r="J430" i="3"/>
  <c r="N429" i="3"/>
  <c r="M429" i="3"/>
  <c r="L429" i="3"/>
  <c r="K429" i="3"/>
  <c r="J429" i="3"/>
  <c r="N428" i="3"/>
  <c r="M428" i="3"/>
  <c r="L428" i="3"/>
  <c r="K428" i="3"/>
  <c r="J428" i="3"/>
  <c r="N427" i="3"/>
  <c r="M427" i="3"/>
  <c r="L427" i="3"/>
  <c r="K427" i="3"/>
  <c r="J427" i="3"/>
  <c r="N426" i="3"/>
  <c r="M426" i="3"/>
  <c r="L426" i="3"/>
  <c r="K426" i="3"/>
  <c r="J426" i="3"/>
  <c r="N425" i="3"/>
  <c r="M425" i="3"/>
  <c r="L425" i="3"/>
  <c r="K425" i="3"/>
  <c r="J425" i="3"/>
  <c r="N424" i="3"/>
  <c r="M424" i="3"/>
  <c r="L424" i="3"/>
  <c r="K424" i="3"/>
  <c r="J424" i="3"/>
  <c r="N423" i="3"/>
  <c r="M423" i="3"/>
  <c r="L423" i="3"/>
  <c r="K423" i="3"/>
  <c r="J423" i="3"/>
  <c r="N422" i="3"/>
  <c r="M422" i="3"/>
  <c r="L422" i="3"/>
  <c r="K422" i="3"/>
  <c r="J422" i="3"/>
  <c r="N421" i="3"/>
  <c r="M421" i="3"/>
  <c r="L421" i="3"/>
  <c r="K421" i="3"/>
  <c r="J421" i="3"/>
  <c r="N420" i="3"/>
  <c r="M420" i="3"/>
  <c r="L420" i="3"/>
  <c r="K420" i="3"/>
  <c r="J420" i="3"/>
  <c r="N419" i="3"/>
  <c r="M419" i="3"/>
  <c r="L419" i="3"/>
  <c r="K419" i="3"/>
  <c r="J419" i="3"/>
  <c r="N418" i="3"/>
  <c r="M418" i="3"/>
  <c r="L418" i="3"/>
  <c r="K418" i="3"/>
  <c r="J418" i="3"/>
  <c r="N417" i="3"/>
  <c r="M417" i="3"/>
  <c r="L417" i="3"/>
  <c r="K417" i="3"/>
  <c r="J417" i="3"/>
  <c r="N416" i="3"/>
  <c r="M416" i="3"/>
  <c r="L416" i="3"/>
  <c r="K416" i="3"/>
  <c r="J416" i="3"/>
  <c r="N415" i="3"/>
  <c r="M415" i="3"/>
  <c r="L415" i="3"/>
  <c r="K415" i="3"/>
  <c r="J415" i="3"/>
  <c r="N414" i="3"/>
  <c r="M414" i="3"/>
  <c r="L414" i="3"/>
  <c r="K414" i="3"/>
  <c r="J414" i="3"/>
  <c r="N413" i="3"/>
  <c r="M413" i="3"/>
  <c r="L413" i="3"/>
  <c r="K413" i="3"/>
  <c r="J413" i="3"/>
  <c r="N412" i="3"/>
  <c r="M412" i="3"/>
  <c r="L412" i="3"/>
  <c r="K412" i="3"/>
  <c r="J412" i="3"/>
  <c r="N411" i="3"/>
  <c r="M411" i="3"/>
  <c r="L411" i="3"/>
  <c r="K411" i="3"/>
  <c r="J411" i="3"/>
  <c r="N410" i="3"/>
  <c r="M410" i="3"/>
  <c r="L410" i="3"/>
  <c r="K410" i="3"/>
  <c r="J410" i="3"/>
  <c r="N409" i="3"/>
  <c r="M409" i="3"/>
  <c r="L409" i="3"/>
  <c r="K409" i="3"/>
  <c r="J409" i="3"/>
  <c r="N408" i="3"/>
  <c r="M408" i="3"/>
  <c r="L408" i="3"/>
  <c r="K408" i="3"/>
  <c r="J408" i="3"/>
  <c r="N407" i="3"/>
  <c r="M407" i="3"/>
  <c r="L407" i="3"/>
  <c r="K407" i="3"/>
  <c r="J407" i="3"/>
  <c r="N406" i="3"/>
  <c r="M406" i="3"/>
  <c r="L406" i="3"/>
  <c r="K406" i="3"/>
  <c r="J406" i="3"/>
  <c r="N405" i="3"/>
  <c r="M405" i="3"/>
  <c r="L405" i="3"/>
  <c r="K405" i="3"/>
  <c r="J405" i="3"/>
  <c r="N404" i="3"/>
  <c r="M404" i="3"/>
  <c r="L404" i="3"/>
  <c r="K404" i="3"/>
  <c r="J404" i="3"/>
  <c r="N403" i="3"/>
  <c r="M403" i="3"/>
  <c r="L403" i="3"/>
  <c r="K403" i="3"/>
  <c r="J403" i="3"/>
  <c r="N402" i="3"/>
  <c r="M402" i="3"/>
  <c r="L402" i="3"/>
  <c r="K402" i="3"/>
  <c r="J402" i="3"/>
  <c r="N401" i="3"/>
  <c r="M401" i="3"/>
  <c r="L401" i="3"/>
  <c r="K401" i="3"/>
  <c r="J401" i="3"/>
  <c r="N400" i="3"/>
  <c r="M400" i="3"/>
  <c r="L400" i="3"/>
  <c r="K400" i="3"/>
  <c r="J400" i="3"/>
  <c r="N399" i="3"/>
  <c r="M399" i="3"/>
  <c r="L399" i="3"/>
  <c r="K399" i="3"/>
  <c r="J399" i="3"/>
  <c r="N398" i="3"/>
  <c r="M398" i="3"/>
  <c r="L398" i="3"/>
  <c r="K398" i="3"/>
  <c r="J398" i="3"/>
  <c r="N397" i="3"/>
  <c r="M397" i="3"/>
  <c r="L397" i="3"/>
  <c r="K397" i="3"/>
  <c r="J397" i="3"/>
  <c r="N396" i="3"/>
  <c r="M396" i="3"/>
  <c r="L396" i="3"/>
  <c r="K396" i="3"/>
  <c r="J396" i="3"/>
  <c r="N395" i="3"/>
  <c r="M395" i="3"/>
  <c r="L395" i="3"/>
  <c r="K395" i="3"/>
  <c r="J395" i="3"/>
  <c r="N394" i="3"/>
  <c r="M394" i="3"/>
  <c r="L394" i="3"/>
  <c r="K394" i="3"/>
  <c r="J394" i="3"/>
  <c r="N393" i="3"/>
  <c r="M393" i="3"/>
  <c r="L393" i="3"/>
  <c r="K393" i="3"/>
  <c r="J393" i="3"/>
  <c r="N392" i="3"/>
  <c r="M392" i="3"/>
  <c r="L392" i="3"/>
  <c r="K392" i="3"/>
  <c r="J392" i="3"/>
  <c r="N391" i="3"/>
  <c r="M391" i="3"/>
  <c r="L391" i="3"/>
  <c r="K391" i="3"/>
  <c r="J391" i="3"/>
  <c r="N390" i="3"/>
  <c r="M390" i="3"/>
  <c r="L390" i="3"/>
  <c r="K390" i="3"/>
  <c r="J390" i="3"/>
  <c r="N389" i="3"/>
  <c r="M389" i="3"/>
  <c r="L389" i="3"/>
  <c r="K389" i="3"/>
  <c r="J389" i="3"/>
  <c r="N388" i="3"/>
  <c r="M388" i="3"/>
  <c r="L388" i="3"/>
  <c r="K388" i="3"/>
  <c r="J388" i="3"/>
  <c r="N387" i="3"/>
  <c r="M387" i="3"/>
  <c r="L387" i="3"/>
  <c r="K387" i="3"/>
  <c r="J387" i="3"/>
  <c r="N386" i="3"/>
  <c r="M386" i="3"/>
  <c r="L386" i="3"/>
  <c r="K386" i="3"/>
  <c r="J386" i="3"/>
  <c r="N385" i="3"/>
  <c r="M385" i="3"/>
  <c r="L385" i="3"/>
  <c r="K385" i="3"/>
  <c r="J385" i="3"/>
  <c r="N384" i="3"/>
  <c r="M384" i="3"/>
  <c r="L384" i="3"/>
  <c r="K384" i="3"/>
  <c r="J384" i="3"/>
  <c r="N383" i="3"/>
  <c r="M383" i="3"/>
  <c r="L383" i="3"/>
  <c r="K383" i="3"/>
  <c r="J383" i="3"/>
  <c r="N382" i="3"/>
  <c r="M382" i="3"/>
  <c r="L382" i="3"/>
  <c r="K382" i="3"/>
  <c r="J382" i="3"/>
  <c r="N381" i="3"/>
  <c r="M381" i="3"/>
  <c r="L381" i="3"/>
  <c r="K381" i="3"/>
  <c r="J381" i="3"/>
  <c r="N380" i="3"/>
  <c r="M380" i="3"/>
  <c r="L380" i="3"/>
  <c r="K380" i="3"/>
  <c r="J380" i="3"/>
  <c r="N379" i="3"/>
  <c r="M379" i="3"/>
  <c r="L379" i="3"/>
  <c r="K379" i="3"/>
  <c r="J379" i="3"/>
  <c r="N378" i="3"/>
  <c r="M378" i="3"/>
  <c r="L378" i="3"/>
  <c r="K378" i="3"/>
  <c r="J378" i="3"/>
  <c r="N377" i="3"/>
  <c r="M377" i="3"/>
  <c r="L377" i="3"/>
  <c r="K377" i="3"/>
  <c r="J377" i="3"/>
  <c r="N376" i="3"/>
  <c r="M376" i="3"/>
  <c r="L376" i="3"/>
  <c r="K376" i="3"/>
  <c r="J376" i="3"/>
  <c r="N375" i="3"/>
  <c r="M375" i="3"/>
  <c r="L375" i="3"/>
  <c r="K375" i="3"/>
  <c r="J375" i="3"/>
  <c r="N374" i="3"/>
  <c r="M374" i="3"/>
  <c r="L374" i="3"/>
  <c r="K374" i="3"/>
  <c r="J374" i="3"/>
  <c r="N373" i="3"/>
  <c r="M373" i="3"/>
  <c r="L373" i="3"/>
  <c r="K373" i="3"/>
  <c r="J373" i="3"/>
  <c r="N372" i="3"/>
  <c r="M372" i="3"/>
  <c r="L372" i="3"/>
  <c r="K372" i="3"/>
  <c r="J372" i="3"/>
  <c r="N371" i="3"/>
  <c r="M371" i="3"/>
  <c r="L371" i="3"/>
  <c r="K371" i="3"/>
  <c r="J371" i="3"/>
  <c r="N370" i="3"/>
  <c r="M370" i="3"/>
  <c r="L370" i="3"/>
  <c r="K370" i="3"/>
  <c r="J370" i="3"/>
  <c r="N369" i="3"/>
  <c r="M369" i="3"/>
  <c r="L369" i="3"/>
  <c r="K369" i="3"/>
  <c r="J369" i="3"/>
  <c r="N368" i="3"/>
  <c r="M368" i="3"/>
  <c r="L368" i="3"/>
  <c r="K368" i="3"/>
  <c r="J368" i="3"/>
  <c r="N367" i="3"/>
  <c r="M367" i="3"/>
  <c r="L367" i="3"/>
  <c r="K367" i="3"/>
  <c r="J367" i="3"/>
  <c r="N366" i="3"/>
  <c r="M366" i="3"/>
  <c r="L366" i="3"/>
  <c r="K366" i="3"/>
  <c r="J366" i="3"/>
  <c r="N365" i="3"/>
  <c r="M365" i="3"/>
  <c r="L365" i="3"/>
  <c r="K365" i="3"/>
  <c r="J365" i="3"/>
  <c r="N364" i="3"/>
  <c r="M364" i="3"/>
  <c r="L364" i="3"/>
  <c r="K364" i="3"/>
  <c r="J364" i="3"/>
  <c r="N363" i="3"/>
  <c r="M363" i="3"/>
  <c r="L363" i="3"/>
  <c r="K363" i="3"/>
  <c r="J363" i="3"/>
  <c r="N362" i="3"/>
  <c r="M362" i="3"/>
  <c r="L362" i="3"/>
  <c r="K362" i="3"/>
  <c r="J362" i="3"/>
  <c r="N361" i="3"/>
  <c r="M361" i="3"/>
  <c r="L361" i="3"/>
  <c r="K361" i="3"/>
  <c r="J361" i="3"/>
  <c r="N360" i="3"/>
  <c r="M360" i="3"/>
  <c r="L360" i="3"/>
  <c r="K360" i="3"/>
  <c r="J360" i="3"/>
  <c r="N359" i="3"/>
  <c r="M359" i="3"/>
  <c r="L359" i="3"/>
  <c r="K359" i="3"/>
  <c r="J359" i="3"/>
  <c r="N358" i="3"/>
  <c r="M358" i="3"/>
  <c r="L358" i="3"/>
  <c r="K358" i="3"/>
  <c r="J358" i="3"/>
  <c r="N357" i="3"/>
  <c r="M357" i="3"/>
  <c r="L357" i="3"/>
  <c r="K357" i="3"/>
  <c r="J357" i="3"/>
  <c r="N356" i="3"/>
  <c r="M356" i="3"/>
  <c r="L356" i="3"/>
  <c r="K356" i="3"/>
  <c r="J356" i="3"/>
  <c r="N355" i="3"/>
  <c r="M355" i="3"/>
  <c r="L355" i="3"/>
  <c r="K355" i="3"/>
  <c r="J355" i="3"/>
  <c r="N354" i="3"/>
  <c r="M354" i="3"/>
  <c r="L354" i="3"/>
  <c r="K354" i="3"/>
  <c r="J354" i="3"/>
  <c r="N353" i="3"/>
  <c r="M353" i="3"/>
  <c r="L353" i="3"/>
  <c r="K353" i="3"/>
  <c r="J353" i="3"/>
  <c r="N352" i="3"/>
  <c r="M352" i="3"/>
  <c r="L352" i="3"/>
  <c r="K352" i="3"/>
  <c r="J352" i="3"/>
  <c r="N351" i="3"/>
  <c r="M351" i="3"/>
  <c r="L351" i="3"/>
  <c r="K351" i="3"/>
  <c r="J351" i="3"/>
  <c r="N350" i="3"/>
  <c r="M350" i="3"/>
  <c r="L350" i="3"/>
  <c r="K350" i="3"/>
  <c r="J350" i="3"/>
  <c r="N349" i="3"/>
  <c r="M349" i="3"/>
  <c r="L349" i="3"/>
  <c r="K349" i="3"/>
  <c r="J349" i="3"/>
  <c r="N348" i="3"/>
  <c r="M348" i="3"/>
  <c r="L348" i="3"/>
  <c r="K348" i="3"/>
  <c r="J348" i="3"/>
  <c r="N347" i="3"/>
  <c r="M347" i="3"/>
  <c r="L347" i="3"/>
  <c r="K347" i="3"/>
  <c r="J347" i="3"/>
  <c r="N346" i="3"/>
  <c r="M346" i="3"/>
  <c r="L346" i="3"/>
  <c r="K346" i="3"/>
  <c r="J346" i="3"/>
  <c r="N345" i="3"/>
  <c r="M345" i="3"/>
  <c r="L345" i="3"/>
  <c r="K345" i="3"/>
  <c r="J345" i="3"/>
  <c r="N344" i="3"/>
  <c r="M344" i="3"/>
  <c r="L344" i="3"/>
  <c r="K344" i="3"/>
  <c r="J344" i="3"/>
  <c r="N343" i="3"/>
  <c r="M343" i="3"/>
  <c r="L343" i="3"/>
  <c r="K343" i="3"/>
  <c r="J343" i="3"/>
  <c r="N342" i="3"/>
  <c r="M342" i="3"/>
  <c r="L342" i="3"/>
  <c r="K342" i="3"/>
  <c r="J342" i="3"/>
  <c r="N341" i="3"/>
  <c r="M341" i="3"/>
  <c r="L341" i="3"/>
  <c r="K341" i="3"/>
  <c r="J341" i="3"/>
  <c r="N340" i="3"/>
  <c r="M340" i="3"/>
  <c r="L340" i="3"/>
  <c r="K340" i="3"/>
  <c r="J340" i="3"/>
  <c r="N339" i="3"/>
  <c r="M339" i="3"/>
  <c r="L339" i="3"/>
  <c r="K339" i="3"/>
  <c r="J339" i="3"/>
  <c r="N338" i="3"/>
  <c r="M338" i="3"/>
  <c r="L338" i="3"/>
  <c r="K338" i="3"/>
  <c r="J338" i="3"/>
  <c r="N337" i="3"/>
  <c r="M337" i="3"/>
  <c r="L337" i="3"/>
  <c r="K337" i="3"/>
  <c r="J337" i="3"/>
  <c r="N336" i="3"/>
  <c r="M336" i="3"/>
  <c r="L336" i="3"/>
  <c r="K336" i="3"/>
  <c r="J336" i="3"/>
  <c r="N335" i="3"/>
  <c r="M335" i="3"/>
  <c r="L335" i="3"/>
  <c r="K335" i="3"/>
  <c r="J335" i="3"/>
  <c r="N334" i="3"/>
  <c r="M334" i="3"/>
  <c r="L334" i="3"/>
  <c r="K334" i="3"/>
  <c r="J334" i="3"/>
  <c r="N333" i="3"/>
  <c r="M333" i="3"/>
  <c r="L333" i="3"/>
  <c r="K333" i="3"/>
  <c r="J333" i="3"/>
  <c r="N332" i="3"/>
  <c r="M332" i="3"/>
  <c r="L332" i="3"/>
  <c r="K332" i="3"/>
  <c r="J332" i="3"/>
  <c r="N331" i="3"/>
  <c r="M331" i="3"/>
  <c r="L331" i="3"/>
  <c r="K331" i="3"/>
  <c r="J331" i="3"/>
  <c r="N330" i="3"/>
  <c r="M330" i="3"/>
  <c r="L330" i="3"/>
  <c r="K330" i="3"/>
  <c r="J330" i="3"/>
  <c r="N329" i="3"/>
  <c r="M329" i="3"/>
  <c r="L329" i="3"/>
  <c r="K329" i="3"/>
  <c r="J329" i="3"/>
  <c r="N328" i="3"/>
  <c r="M328" i="3"/>
  <c r="L328" i="3"/>
  <c r="K328" i="3"/>
  <c r="J328" i="3"/>
  <c r="N327" i="3"/>
  <c r="M327" i="3"/>
  <c r="L327" i="3"/>
  <c r="K327" i="3"/>
  <c r="J327" i="3"/>
  <c r="N326" i="3"/>
  <c r="M326" i="3"/>
  <c r="L326" i="3"/>
  <c r="K326" i="3"/>
  <c r="J326" i="3"/>
  <c r="N325" i="3"/>
  <c r="M325" i="3"/>
  <c r="L325" i="3"/>
  <c r="K325" i="3"/>
  <c r="J325" i="3"/>
  <c r="N324" i="3"/>
  <c r="M324" i="3"/>
  <c r="L324" i="3"/>
  <c r="K324" i="3"/>
  <c r="J324" i="3"/>
  <c r="N323" i="3"/>
  <c r="M323" i="3"/>
  <c r="L323" i="3"/>
  <c r="K323" i="3"/>
  <c r="J323" i="3"/>
  <c r="N322" i="3"/>
  <c r="M322" i="3"/>
  <c r="L322" i="3"/>
  <c r="K322" i="3"/>
  <c r="J322" i="3"/>
  <c r="N321" i="3"/>
  <c r="M321" i="3"/>
  <c r="L321" i="3"/>
  <c r="K321" i="3"/>
  <c r="J321" i="3"/>
  <c r="N320" i="3"/>
  <c r="M320" i="3"/>
  <c r="L320" i="3"/>
  <c r="K320" i="3"/>
  <c r="J320" i="3"/>
  <c r="N319" i="3"/>
  <c r="M319" i="3"/>
  <c r="L319" i="3"/>
  <c r="K319" i="3"/>
  <c r="J319" i="3"/>
  <c r="N318" i="3"/>
  <c r="M318" i="3"/>
  <c r="L318" i="3"/>
  <c r="K318" i="3"/>
  <c r="J318" i="3"/>
  <c r="N317" i="3"/>
  <c r="M317" i="3"/>
  <c r="L317" i="3"/>
  <c r="K317" i="3"/>
  <c r="J317" i="3"/>
  <c r="N316" i="3"/>
  <c r="M316" i="3"/>
  <c r="L316" i="3"/>
  <c r="K316" i="3"/>
  <c r="J316" i="3"/>
  <c r="N315" i="3"/>
  <c r="M315" i="3"/>
  <c r="L315" i="3"/>
  <c r="K315" i="3"/>
  <c r="J315" i="3"/>
  <c r="N314" i="3"/>
  <c r="M314" i="3"/>
  <c r="L314" i="3"/>
  <c r="K314" i="3"/>
  <c r="J314" i="3"/>
  <c r="N313" i="3"/>
  <c r="M313" i="3"/>
  <c r="L313" i="3"/>
  <c r="K313" i="3"/>
  <c r="J313" i="3"/>
  <c r="N312" i="3"/>
  <c r="M312" i="3"/>
  <c r="L312" i="3"/>
  <c r="K312" i="3"/>
  <c r="J312" i="3"/>
  <c r="N311" i="3"/>
  <c r="M311" i="3"/>
  <c r="L311" i="3"/>
  <c r="K311" i="3"/>
  <c r="J311" i="3"/>
  <c r="N310" i="3"/>
  <c r="M310" i="3"/>
  <c r="L310" i="3"/>
  <c r="K310" i="3"/>
  <c r="J310" i="3"/>
  <c r="N309" i="3"/>
  <c r="M309" i="3"/>
  <c r="L309" i="3"/>
  <c r="K309" i="3"/>
  <c r="J309" i="3"/>
  <c r="N308" i="3"/>
  <c r="M308" i="3"/>
  <c r="L308" i="3"/>
  <c r="K308" i="3"/>
  <c r="J308" i="3"/>
  <c r="N307" i="3"/>
  <c r="M307" i="3"/>
  <c r="L307" i="3"/>
  <c r="K307" i="3"/>
  <c r="J307" i="3"/>
  <c r="N306" i="3"/>
  <c r="M306" i="3"/>
  <c r="L306" i="3"/>
  <c r="K306" i="3"/>
  <c r="J306" i="3"/>
  <c r="N305" i="3"/>
  <c r="M305" i="3"/>
  <c r="L305" i="3"/>
  <c r="K305" i="3"/>
  <c r="J305" i="3"/>
  <c r="N304" i="3"/>
  <c r="M304" i="3"/>
  <c r="L304" i="3"/>
  <c r="K304" i="3"/>
  <c r="J304" i="3"/>
  <c r="N303" i="3"/>
  <c r="M303" i="3"/>
  <c r="L303" i="3"/>
  <c r="K303" i="3"/>
  <c r="J303" i="3"/>
  <c r="N302" i="3"/>
  <c r="M302" i="3"/>
  <c r="L302" i="3"/>
  <c r="K302" i="3"/>
  <c r="J302" i="3"/>
  <c r="N301" i="3"/>
  <c r="M301" i="3"/>
  <c r="L301" i="3"/>
  <c r="K301" i="3"/>
  <c r="J301" i="3"/>
  <c r="N300" i="3"/>
  <c r="M300" i="3"/>
  <c r="L300" i="3"/>
  <c r="K300" i="3"/>
  <c r="J300" i="3"/>
  <c r="N299" i="3"/>
  <c r="M299" i="3"/>
  <c r="L299" i="3"/>
  <c r="K299" i="3"/>
  <c r="J299" i="3"/>
  <c r="N298" i="3"/>
  <c r="M298" i="3"/>
  <c r="L298" i="3"/>
  <c r="K298" i="3"/>
  <c r="J298" i="3"/>
  <c r="N297" i="3"/>
  <c r="M297" i="3"/>
  <c r="L297" i="3"/>
  <c r="K297" i="3"/>
  <c r="J297" i="3"/>
  <c r="N296" i="3"/>
  <c r="M296" i="3"/>
  <c r="L296" i="3"/>
  <c r="K296" i="3"/>
  <c r="J296" i="3"/>
  <c r="N295" i="3"/>
  <c r="M295" i="3"/>
  <c r="L295" i="3"/>
  <c r="K295" i="3"/>
  <c r="J295" i="3"/>
  <c r="N294" i="3"/>
  <c r="M294" i="3"/>
  <c r="L294" i="3"/>
  <c r="K294" i="3"/>
  <c r="J294" i="3"/>
  <c r="N293" i="3"/>
  <c r="M293" i="3"/>
  <c r="L293" i="3"/>
  <c r="K293" i="3"/>
  <c r="J293" i="3"/>
  <c r="N292" i="3"/>
  <c r="M292" i="3"/>
  <c r="L292" i="3"/>
  <c r="K292" i="3"/>
  <c r="J292" i="3"/>
  <c r="N291" i="3"/>
  <c r="M291" i="3"/>
  <c r="L291" i="3"/>
  <c r="K291" i="3"/>
  <c r="J291" i="3"/>
  <c r="N290" i="3"/>
  <c r="M290" i="3"/>
  <c r="L290" i="3"/>
  <c r="K290" i="3"/>
  <c r="J290" i="3"/>
  <c r="N289" i="3"/>
  <c r="M289" i="3"/>
  <c r="L289" i="3"/>
  <c r="K289" i="3"/>
  <c r="J289" i="3"/>
  <c r="N288" i="3"/>
  <c r="M288" i="3"/>
  <c r="L288" i="3"/>
  <c r="K288" i="3"/>
  <c r="J288" i="3"/>
  <c r="N287" i="3"/>
  <c r="M287" i="3"/>
  <c r="L287" i="3"/>
  <c r="K287" i="3"/>
  <c r="J287" i="3"/>
  <c r="N286" i="3"/>
  <c r="M286" i="3"/>
  <c r="L286" i="3"/>
  <c r="K286" i="3"/>
  <c r="J286" i="3"/>
  <c r="N285" i="3"/>
  <c r="M285" i="3"/>
  <c r="L285" i="3"/>
  <c r="K285" i="3"/>
  <c r="J285" i="3"/>
  <c r="N284" i="3"/>
  <c r="M284" i="3"/>
  <c r="L284" i="3"/>
  <c r="K284" i="3"/>
  <c r="J284" i="3"/>
  <c r="N283" i="3"/>
  <c r="M283" i="3"/>
  <c r="L283" i="3"/>
  <c r="K283" i="3"/>
  <c r="J283" i="3"/>
  <c r="N282" i="3"/>
  <c r="M282" i="3"/>
  <c r="L282" i="3"/>
  <c r="K282" i="3"/>
  <c r="J282" i="3"/>
  <c r="N281" i="3"/>
  <c r="M281" i="3"/>
  <c r="L281" i="3"/>
  <c r="K281" i="3"/>
  <c r="J281" i="3"/>
  <c r="N280" i="3"/>
  <c r="M280" i="3"/>
  <c r="L280" i="3"/>
  <c r="K280" i="3"/>
  <c r="J280" i="3"/>
  <c r="N279" i="3"/>
  <c r="M279" i="3"/>
  <c r="L279" i="3"/>
  <c r="K279" i="3"/>
  <c r="J279" i="3"/>
  <c r="N278" i="3"/>
  <c r="M278" i="3"/>
  <c r="L278" i="3"/>
  <c r="K278" i="3"/>
  <c r="J278" i="3"/>
  <c r="N277" i="3"/>
  <c r="M277" i="3"/>
  <c r="L277" i="3"/>
  <c r="K277" i="3"/>
  <c r="J277" i="3"/>
  <c r="N276" i="3"/>
  <c r="M276" i="3"/>
  <c r="L276" i="3"/>
  <c r="K276" i="3"/>
  <c r="J276" i="3"/>
  <c r="N275" i="3"/>
  <c r="M275" i="3"/>
  <c r="L275" i="3"/>
  <c r="K275" i="3"/>
  <c r="J275" i="3"/>
  <c r="N274" i="3"/>
  <c r="M274" i="3"/>
  <c r="L274" i="3"/>
  <c r="K274" i="3"/>
  <c r="J274" i="3"/>
  <c r="N273" i="3"/>
  <c r="M273" i="3"/>
  <c r="L273" i="3"/>
  <c r="K273" i="3"/>
  <c r="J273" i="3"/>
  <c r="N272" i="3"/>
  <c r="M272" i="3"/>
  <c r="L272" i="3"/>
  <c r="K272" i="3"/>
  <c r="J272" i="3"/>
  <c r="N271" i="3"/>
  <c r="M271" i="3"/>
  <c r="L271" i="3"/>
  <c r="K271" i="3"/>
  <c r="J271" i="3"/>
  <c r="N270" i="3"/>
  <c r="M270" i="3"/>
  <c r="L270" i="3"/>
  <c r="K270" i="3"/>
  <c r="J270" i="3"/>
  <c r="N269" i="3"/>
  <c r="M269" i="3"/>
  <c r="L269" i="3"/>
  <c r="K269" i="3"/>
  <c r="J269" i="3"/>
  <c r="N268" i="3"/>
  <c r="M268" i="3"/>
  <c r="L268" i="3"/>
  <c r="K268" i="3"/>
  <c r="J268" i="3"/>
  <c r="N267" i="3"/>
  <c r="M267" i="3"/>
  <c r="L267" i="3"/>
  <c r="K267" i="3"/>
  <c r="J267" i="3"/>
  <c r="N266" i="3"/>
  <c r="M266" i="3"/>
  <c r="L266" i="3"/>
  <c r="K266" i="3"/>
  <c r="J266" i="3"/>
  <c r="N265" i="3"/>
  <c r="M265" i="3"/>
  <c r="L265" i="3"/>
  <c r="K265" i="3"/>
  <c r="J265" i="3"/>
  <c r="N264" i="3"/>
  <c r="M264" i="3"/>
  <c r="L264" i="3"/>
  <c r="K264" i="3"/>
  <c r="J264" i="3"/>
  <c r="N263" i="3"/>
  <c r="M263" i="3"/>
  <c r="L263" i="3"/>
  <c r="K263" i="3"/>
  <c r="J263" i="3"/>
  <c r="N262" i="3"/>
  <c r="M262" i="3"/>
  <c r="L262" i="3"/>
  <c r="K262" i="3"/>
  <c r="J262" i="3"/>
  <c r="N261" i="3"/>
  <c r="M261" i="3"/>
  <c r="L261" i="3"/>
  <c r="K261" i="3"/>
  <c r="J261" i="3"/>
  <c r="N260" i="3"/>
  <c r="M260" i="3"/>
  <c r="L260" i="3"/>
  <c r="K260" i="3"/>
  <c r="J260" i="3"/>
  <c r="N259" i="3"/>
  <c r="M259" i="3"/>
  <c r="L259" i="3"/>
  <c r="K259" i="3"/>
  <c r="J259" i="3"/>
  <c r="N258" i="3"/>
  <c r="M258" i="3"/>
  <c r="L258" i="3"/>
  <c r="K258" i="3"/>
  <c r="J258" i="3"/>
  <c r="N257" i="3"/>
  <c r="M257" i="3"/>
  <c r="L257" i="3"/>
  <c r="K257" i="3"/>
  <c r="J257" i="3"/>
  <c r="N256" i="3"/>
  <c r="M256" i="3"/>
  <c r="L256" i="3"/>
  <c r="K256" i="3"/>
  <c r="J256" i="3"/>
  <c r="N255" i="3"/>
  <c r="M255" i="3"/>
  <c r="L255" i="3"/>
  <c r="K255" i="3"/>
  <c r="J255" i="3"/>
  <c r="N254" i="3"/>
  <c r="M254" i="3"/>
  <c r="L254" i="3"/>
  <c r="K254" i="3"/>
  <c r="J254" i="3"/>
  <c r="N253" i="3"/>
  <c r="M253" i="3"/>
  <c r="L253" i="3"/>
  <c r="K253" i="3"/>
  <c r="J253" i="3"/>
  <c r="N252" i="3"/>
  <c r="M252" i="3"/>
  <c r="L252" i="3"/>
  <c r="K252" i="3"/>
  <c r="J252" i="3"/>
  <c r="N251" i="3"/>
  <c r="M251" i="3"/>
  <c r="L251" i="3"/>
  <c r="K251" i="3"/>
  <c r="J251" i="3"/>
  <c r="N250" i="3"/>
  <c r="M250" i="3"/>
  <c r="L250" i="3"/>
  <c r="K250" i="3"/>
  <c r="J250" i="3"/>
  <c r="N249" i="3"/>
  <c r="M249" i="3"/>
  <c r="L249" i="3"/>
  <c r="K249" i="3"/>
  <c r="J249" i="3"/>
  <c r="N248" i="3"/>
  <c r="M248" i="3"/>
  <c r="L248" i="3"/>
  <c r="K248" i="3"/>
  <c r="J248" i="3"/>
  <c r="N247" i="3"/>
  <c r="M247" i="3"/>
  <c r="L247" i="3"/>
  <c r="K247" i="3"/>
  <c r="J247" i="3"/>
  <c r="N246" i="3"/>
  <c r="M246" i="3"/>
  <c r="L246" i="3"/>
  <c r="K246" i="3"/>
  <c r="J246" i="3"/>
  <c r="N245" i="3"/>
  <c r="M245" i="3"/>
  <c r="L245" i="3"/>
  <c r="K245" i="3"/>
  <c r="J245" i="3"/>
  <c r="N244" i="3"/>
  <c r="M244" i="3"/>
  <c r="L244" i="3"/>
  <c r="K244" i="3"/>
  <c r="J244" i="3"/>
  <c r="N243" i="3"/>
  <c r="M243" i="3"/>
  <c r="L243" i="3"/>
  <c r="K243" i="3"/>
  <c r="J243" i="3"/>
  <c r="N242" i="3"/>
  <c r="M242" i="3"/>
  <c r="L242" i="3"/>
  <c r="K242" i="3"/>
  <c r="J242" i="3"/>
  <c r="N241" i="3"/>
  <c r="M241" i="3"/>
  <c r="L241" i="3"/>
  <c r="K241" i="3"/>
  <c r="J241" i="3"/>
  <c r="N240" i="3"/>
  <c r="M240" i="3"/>
  <c r="L240" i="3"/>
  <c r="K240" i="3"/>
  <c r="J240" i="3"/>
  <c r="N239" i="3"/>
  <c r="M239" i="3"/>
  <c r="L239" i="3"/>
  <c r="K239" i="3"/>
  <c r="J239" i="3"/>
  <c r="N238" i="3"/>
  <c r="M238" i="3"/>
  <c r="L238" i="3"/>
  <c r="K238" i="3"/>
  <c r="J238" i="3"/>
  <c r="N237" i="3"/>
  <c r="M237" i="3"/>
  <c r="L237" i="3"/>
  <c r="K237" i="3"/>
  <c r="J237" i="3"/>
  <c r="N236" i="3"/>
  <c r="M236" i="3"/>
  <c r="L236" i="3"/>
  <c r="K236" i="3"/>
  <c r="J236" i="3"/>
  <c r="N235" i="3"/>
  <c r="M235" i="3"/>
  <c r="L235" i="3"/>
  <c r="K235" i="3"/>
  <c r="J235" i="3"/>
  <c r="N234" i="3"/>
  <c r="M234" i="3"/>
  <c r="L234" i="3"/>
  <c r="K234" i="3"/>
  <c r="J234" i="3"/>
  <c r="N233" i="3"/>
  <c r="M233" i="3"/>
  <c r="L233" i="3"/>
  <c r="K233" i="3"/>
  <c r="J233" i="3"/>
  <c r="N232" i="3"/>
  <c r="M232" i="3"/>
  <c r="L232" i="3"/>
  <c r="K232" i="3"/>
  <c r="J232" i="3"/>
  <c r="N231" i="3"/>
  <c r="M231" i="3"/>
  <c r="L231" i="3"/>
  <c r="K231" i="3"/>
  <c r="J231" i="3"/>
  <c r="N230" i="3"/>
  <c r="M230" i="3"/>
  <c r="L230" i="3"/>
  <c r="K230" i="3"/>
  <c r="J230" i="3"/>
  <c r="N229" i="3"/>
  <c r="M229" i="3"/>
  <c r="L229" i="3"/>
  <c r="K229" i="3"/>
  <c r="J229" i="3"/>
  <c r="N228" i="3"/>
  <c r="M228" i="3"/>
  <c r="L228" i="3"/>
  <c r="K228" i="3"/>
  <c r="J228" i="3"/>
  <c r="N227" i="3"/>
  <c r="M227" i="3"/>
  <c r="L227" i="3"/>
  <c r="K227" i="3"/>
  <c r="J227" i="3"/>
  <c r="N226" i="3"/>
  <c r="M226" i="3"/>
  <c r="L226" i="3"/>
  <c r="K226" i="3"/>
  <c r="J226" i="3"/>
  <c r="N225" i="3"/>
  <c r="M225" i="3"/>
  <c r="L225" i="3"/>
  <c r="K225" i="3"/>
  <c r="J225" i="3"/>
  <c r="N224" i="3"/>
  <c r="M224" i="3"/>
  <c r="L224" i="3"/>
  <c r="K224" i="3"/>
  <c r="J224" i="3"/>
  <c r="N223" i="3"/>
  <c r="M223" i="3"/>
  <c r="L223" i="3"/>
  <c r="K223" i="3"/>
  <c r="J223" i="3"/>
  <c r="N222" i="3"/>
  <c r="M222" i="3"/>
  <c r="L222" i="3"/>
  <c r="K222" i="3"/>
  <c r="J222" i="3"/>
  <c r="N221" i="3"/>
  <c r="M221" i="3"/>
  <c r="L221" i="3"/>
  <c r="K221" i="3"/>
  <c r="J221" i="3"/>
  <c r="N220" i="3"/>
  <c r="M220" i="3"/>
  <c r="L220" i="3"/>
  <c r="K220" i="3"/>
  <c r="J220" i="3"/>
  <c r="N219" i="3"/>
  <c r="M219" i="3"/>
  <c r="L219" i="3"/>
  <c r="K219" i="3"/>
  <c r="J219" i="3"/>
  <c r="N218" i="3"/>
  <c r="M218" i="3"/>
  <c r="L218" i="3"/>
  <c r="K218" i="3"/>
  <c r="J218" i="3"/>
  <c r="N217" i="3"/>
  <c r="M217" i="3"/>
  <c r="L217" i="3"/>
  <c r="K217" i="3"/>
  <c r="J217" i="3"/>
  <c r="N216" i="3"/>
  <c r="M216" i="3"/>
  <c r="L216" i="3"/>
  <c r="K216" i="3"/>
  <c r="J216" i="3"/>
  <c r="N215" i="3"/>
  <c r="M215" i="3"/>
  <c r="L215" i="3"/>
  <c r="K215" i="3"/>
  <c r="J215" i="3"/>
  <c r="N214" i="3"/>
  <c r="M214" i="3"/>
  <c r="L214" i="3"/>
  <c r="K214" i="3"/>
  <c r="J214" i="3"/>
  <c r="N213" i="3"/>
  <c r="M213" i="3"/>
  <c r="L213" i="3"/>
  <c r="K213" i="3"/>
  <c r="J213" i="3"/>
  <c r="N212" i="3"/>
  <c r="M212" i="3"/>
  <c r="L212" i="3"/>
  <c r="K212" i="3"/>
  <c r="J212" i="3"/>
  <c r="N211" i="3"/>
  <c r="M211" i="3"/>
  <c r="L211" i="3"/>
  <c r="K211" i="3"/>
  <c r="J211" i="3"/>
  <c r="N210" i="3"/>
  <c r="M210" i="3"/>
  <c r="L210" i="3"/>
  <c r="K210" i="3"/>
  <c r="J210" i="3"/>
  <c r="N209" i="3"/>
  <c r="M209" i="3"/>
  <c r="L209" i="3"/>
  <c r="K209" i="3"/>
  <c r="J209" i="3"/>
  <c r="N208" i="3"/>
  <c r="M208" i="3"/>
  <c r="L208" i="3"/>
  <c r="K208" i="3"/>
  <c r="J208" i="3"/>
  <c r="N207" i="3"/>
  <c r="M207" i="3"/>
  <c r="L207" i="3"/>
  <c r="K207" i="3"/>
  <c r="J207" i="3"/>
  <c r="N206" i="3"/>
  <c r="M206" i="3"/>
  <c r="L206" i="3"/>
  <c r="K206" i="3"/>
  <c r="J206" i="3"/>
  <c r="N205" i="3"/>
  <c r="M205" i="3"/>
  <c r="L205" i="3"/>
  <c r="K205" i="3"/>
  <c r="J205" i="3"/>
  <c r="N204" i="3"/>
  <c r="M204" i="3"/>
  <c r="L204" i="3"/>
  <c r="K204" i="3"/>
  <c r="J204" i="3"/>
  <c r="N203" i="3"/>
  <c r="M203" i="3"/>
  <c r="L203" i="3"/>
  <c r="K203" i="3"/>
  <c r="J203" i="3"/>
  <c r="N202" i="3"/>
  <c r="M202" i="3"/>
  <c r="L202" i="3"/>
  <c r="K202" i="3"/>
  <c r="J202" i="3"/>
  <c r="N201" i="3"/>
  <c r="M201" i="3"/>
  <c r="L201" i="3"/>
  <c r="K201" i="3"/>
  <c r="J201" i="3"/>
  <c r="N200" i="3"/>
  <c r="M200" i="3"/>
  <c r="L200" i="3"/>
  <c r="K200" i="3"/>
  <c r="J200" i="3"/>
  <c r="N199" i="3"/>
  <c r="M199" i="3"/>
  <c r="L199" i="3"/>
  <c r="K199" i="3"/>
  <c r="J199" i="3"/>
  <c r="N198" i="3"/>
  <c r="M198" i="3"/>
  <c r="L198" i="3"/>
  <c r="K198" i="3"/>
  <c r="J198" i="3"/>
  <c r="N197" i="3"/>
  <c r="M197" i="3"/>
  <c r="L197" i="3"/>
  <c r="K197" i="3"/>
  <c r="J197" i="3"/>
  <c r="N196" i="3"/>
  <c r="M196" i="3"/>
  <c r="L196" i="3"/>
  <c r="K196" i="3"/>
  <c r="J196" i="3"/>
  <c r="N195" i="3"/>
  <c r="M195" i="3"/>
  <c r="L195" i="3"/>
  <c r="K195" i="3"/>
  <c r="J195" i="3"/>
  <c r="N194" i="3"/>
  <c r="M194" i="3"/>
  <c r="L194" i="3"/>
  <c r="K194" i="3"/>
  <c r="J194" i="3"/>
  <c r="N193" i="3"/>
  <c r="M193" i="3"/>
  <c r="L193" i="3"/>
  <c r="K193" i="3"/>
  <c r="J193" i="3"/>
  <c r="N192" i="3"/>
  <c r="M192" i="3"/>
  <c r="L192" i="3"/>
  <c r="K192" i="3"/>
  <c r="J192" i="3"/>
  <c r="N191" i="3"/>
  <c r="M191" i="3"/>
  <c r="L191" i="3"/>
  <c r="K191" i="3"/>
  <c r="J191" i="3"/>
  <c r="N190" i="3"/>
  <c r="M190" i="3"/>
  <c r="L190" i="3"/>
  <c r="K190" i="3"/>
  <c r="J190" i="3"/>
  <c r="N189" i="3"/>
  <c r="M189" i="3"/>
  <c r="L189" i="3"/>
  <c r="K189" i="3"/>
  <c r="J189" i="3"/>
  <c r="N188" i="3"/>
  <c r="M188" i="3"/>
  <c r="L188" i="3"/>
  <c r="K188" i="3"/>
  <c r="J188" i="3"/>
  <c r="N187" i="3"/>
  <c r="M187" i="3"/>
  <c r="L187" i="3"/>
  <c r="K187" i="3"/>
  <c r="J187" i="3"/>
  <c r="N186" i="3"/>
  <c r="M186" i="3"/>
  <c r="L186" i="3"/>
  <c r="K186" i="3"/>
  <c r="J186" i="3"/>
  <c r="N185" i="3"/>
  <c r="M185" i="3"/>
  <c r="L185" i="3"/>
  <c r="K185" i="3"/>
  <c r="J185" i="3"/>
  <c r="N184" i="3"/>
  <c r="M184" i="3"/>
  <c r="L184" i="3"/>
  <c r="K184" i="3"/>
  <c r="J184" i="3"/>
  <c r="N183" i="3"/>
  <c r="M183" i="3"/>
  <c r="L183" i="3"/>
  <c r="K183" i="3"/>
  <c r="J183" i="3"/>
  <c r="N182" i="3"/>
  <c r="M182" i="3"/>
  <c r="L182" i="3"/>
  <c r="K182" i="3"/>
  <c r="J182" i="3"/>
  <c r="N181" i="3"/>
  <c r="M181" i="3"/>
  <c r="L181" i="3"/>
  <c r="K181" i="3"/>
  <c r="J181" i="3"/>
  <c r="N180" i="3"/>
  <c r="M180" i="3"/>
  <c r="L180" i="3"/>
  <c r="K180" i="3"/>
  <c r="J180" i="3"/>
  <c r="N179" i="3"/>
  <c r="M179" i="3"/>
  <c r="L179" i="3"/>
  <c r="K179" i="3"/>
  <c r="J179" i="3"/>
  <c r="N178" i="3"/>
  <c r="M178" i="3"/>
  <c r="L178" i="3"/>
  <c r="K178" i="3"/>
  <c r="J178" i="3"/>
  <c r="N177" i="3"/>
  <c r="M177" i="3"/>
  <c r="L177" i="3"/>
  <c r="K177" i="3"/>
  <c r="J177" i="3"/>
  <c r="N176" i="3"/>
  <c r="M176" i="3"/>
  <c r="L176" i="3"/>
  <c r="K176" i="3"/>
  <c r="J176" i="3"/>
  <c r="N175" i="3"/>
  <c r="M175" i="3"/>
  <c r="L175" i="3"/>
  <c r="K175" i="3"/>
  <c r="J175" i="3"/>
  <c r="N174" i="3"/>
  <c r="M174" i="3"/>
  <c r="L174" i="3"/>
  <c r="K174" i="3"/>
  <c r="J174" i="3"/>
  <c r="N173" i="3"/>
  <c r="M173" i="3"/>
  <c r="L173" i="3"/>
  <c r="K173" i="3"/>
  <c r="J173" i="3"/>
  <c r="N172" i="3"/>
  <c r="M172" i="3"/>
  <c r="L172" i="3"/>
  <c r="K172" i="3"/>
  <c r="J172" i="3"/>
  <c r="N171" i="3"/>
  <c r="M171" i="3"/>
  <c r="L171" i="3"/>
  <c r="K171" i="3"/>
  <c r="J171" i="3"/>
  <c r="N170" i="3"/>
  <c r="M170" i="3"/>
  <c r="L170" i="3"/>
  <c r="K170" i="3"/>
  <c r="J170" i="3"/>
  <c r="N169" i="3"/>
  <c r="M169" i="3"/>
  <c r="L169" i="3"/>
  <c r="K169" i="3"/>
  <c r="J169" i="3"/>
  <c r="N168" i="3"/>
  <c r="M168" i="3"/>
  <c r="L168" i="3"/>
  <c r="K168" i="3"/>
  <c r="J168" i="3"/>
  <c r="N167" i="3"/>
  <c r="M167" i="3"/>
  <c r="L167" i="3"/>
  <c r="K167" i="3"/>
  <c r="J167" i="3"/>
  <c r="N166" i="3"/>
  <c r="M166" i="3"/>
  <c r="L166" i="3"/>
  <c r="K166" i="3"/>
  <c r="J166" i="3"/>
  <c r="N165" i="3"/>
  <c r="M165" i="3"/>
  <c r="L165" i="3"/>
  <c r="K165" i="3"/>
  <c r="J165" i="3"/>
  <c r="N164" i="3"/>
  <c r="M164" i="3"/>
  <c r="L164" i="3"/>
  <c r="K164" i="3"/>
  <c r="J164" i="3"/>
  <c r="N163" i="3"/>
  <c r="M163" i="3"/>
  <c r="L163" i="3"/>
  <c r="K163" i="3"/>
  <c r="J163" i="3"/>
  <c r="N162" i="3"/>
  <c r="M162" i="3"/>
  <c r="L162" i="3"/>
  <c r="K162" i="3"/>
  <c r="J162" i="3"/>
  <c r="N161" i="3"/>
  <c r="M161" i="3"/>
  <c r="L161" i="3"/>
  <c r="K161" i="3"/>
  <c r="J161" i="3"/>
  <c r="N160" i="3"/>
  <c r="M160" i="3"/>
  <c r="L160" i="3"/>
  <c r="K160" i="3"/>
  <c r="J160" i="3"/>
  <c r="N159" i="3"/>
  <c r="M159" i="3"/>
  <c r="L159" i="3"/>
  <c r="K159" i="3"/>
  <c r="J159" i="3"/>
  <c r="N158" i="3"/>
  <c r="M158" i="3"/>
  <c r="L158" i="3"/>
  <c r="K158" i="3"/>
  <c r="J158" i="3"/>
  <c r="N157" i="3"/>
  <c r="M157" i="3"/>
  <c r="L157" i="3"/>
  <c r="K157" i="3"/>
  <c r="J157" i="3"/>
  <c r="N156" i="3"/>
  <c r="M156" i="3"/>
  <c r="L156" i="3"/>
  <c r="K156" i="3"/>
  <c r="J156" i="3"/>
  <c r="N155" i="3"/>
  <c r="M155" i="3"/>
  <c r="L155" i="3"/>
  <c r="K155" i="3"/>
  <c r="J155" i="3"/>
  <c r="N154" i="3"/>
  <c r="M154" i="3"/>
  <c r="L154" i="3"/>
  <c r="K154" i="3"/>
  <c r="J154" i="3"/>
  <c r="N153" i="3"/>
  <c r="M153" i="3"/>
  <c r="L153" i="3"/>
  <c r="K153" i="3"/>
  <c r="J153" i="3"/>
  <c r="N152" i="3"/>
  <c r="M152" i="3"/>
  <c r="L152" i="3"/>
  <c r="K152" i="3"/>
  <c r="J152" i="3"/>
  <c r="N151" i="3"/>
  <c r="M151" i="3"/>
  <c r="L151" i="3"/>
  <c r="K151" i="3"/>
  <c r="J151" i="3"/>
  <c r="N150" i="3"/>
  <c r="M150" i="3"/>
  <c r="L150" i="3"/>
  <c r="K150" i="3"/>
  <c r="J150" i="3"/>
  <c r="N149" i="3"/>
  <c r="M149" i="3"/>
  <c r="L149" i="3"/>
  <c r="K149" i="3"/>
  <c r="J149" i="3"/>
  <c r="N148" i="3"/>
  <c r="M148" i="3"/>
  <c r="L148" i="3"/>
  <c r="K148" i="3"/>
  <c r="J148" i="3"/>
  <c r="N147" i="3"/>
  <c r="M147" i="3"/>
  <c r="L147" i="3"/>
  <c r="K147" i="3"/>
  <c r="J147" i="3"/>
  <c r="N146" i="3"/>
  <c r="M146" i="3"/>
  <c r="L146" i="3"/>
  <c r="K146" i="3"/>
  <c r="J146" i="3"/>
  <c r="N145" i="3"/>
  <c r="M145" i="3"/>
  <c r="L145" i="3"/>
  <c r="K145" i="3"/>
  <c r="J145" i="3"/>
  <c r="N144" i="3"/>
  <c r="M144" i="3"/>
  <c r="L144" i="3"/>
  <c r="K144" i="3"/>
  <c r="J144" i="3"/>
  <c r="N143" i="3"/>
  <c r="M143" i="3"/>
  <c r="L143" i="3"/>
  <c r="K143" i="3"/>
  <c r="J143" i="3"/>
  <c r="N142" i="3"/>
  <c r="M142" i="3"/>
  <c r="L142" i="3"/>
  <c r="K142" i="3"/>
  <c r="J142" i="3"/>
  <c r="N141" i="3"/>
  <c r="M141" i="3"/>
  <c r="L141" i="3"/>
  <c r="K141" i="3"/>
  <c r="J141" i="3"/>
  <c r="N140" i="3"/>
  <c r="M140" i="3"/>
  <c r="L140" i="3"/>
  <c r="K140" i="3"/>
  <c r="J140" i="3"/>
  <c r="N139" i="3"/>
  <c r="M139" i="3"/>
  <c r="L139" i="3"/>
  <c r="K139" i="3"/>
  <c r="J139" i="3"/>
  <c r="N138" i="3"/>
  <c r="M138" i="3"/>
  <c r="L138" i="3"/>
  <c r="K138" i="3"/>
  <c r="J138" i="3"/>
  <c r="N137" i="3"/>
  <c r="M137" i="3"/>
  <c r="L137" i="3"/>
  <c r="K137" i="3"/>
  <c r="J137" i="3"/>
  <c r="N136" i="3"/>
  <c r="M136" i="3"/>
  <c r="L136" i="3"/>
  <c r="K136" i="3"/>
  <c r="J136" i="3"/>
  <c r="N135" i="3"/>
  <c r="M135" i="3"/>
  <c r="L135" i="3"/>
  <c r="K135" i="3"/>
  <c r="J135" i="3"/>
  <c r="N134" i="3"/>
  <c r="M134" i="3"/>
  <c r="L134" i="3"/>
  <c r="K134" i="3"/>
  <c r="J134" i="3"/>
  <c r="N133" i="3"/>
  <c r="M133" i="3"/>
  <c r="L133" i="3"/>
  <c r="K133" i="3"/>
  <c r="J133" i="3"/>
  <c r="N132" i="3"/>
  <c r="M132" i="3"/>
  <c r="L132" i="3"/>
  <c r="K132" i="3"/>
  <c r="J132" i="3"/>
  <c r="N131" i="3"/>
  <c r="M131" i="3"/>
  <c r="L131" i="3"/>
  <c r="K131" i="3"/>
  <c r="J131" i="3"/>
  <c r="N130" i="3"/>
  <c r="M130" i="3"/>
  <c r="L130" i="3"/>
  <c r="K130" i="3"/>
  <c r="J130" i="3"/>
  <c r="N129" i="3"/>
  <c r="M129" i="3"/>
  <c r="L129" i="3"/>
  <c r="K129" i="3"/>
  <c r="J129" i="3"/>
  <c r="N128" i="3"/>
  <c r="M128" i="3"/>
  <c r="L128" i="3"/>
  <c r="K128" i="3"/>
  <c r="J128" i="3"/>
  <c r="N127" i="3"/>
  <c r="M127" i="3"/>
  <c r="L127" i="3"/>
  <c r="K127" i="3"/>
  <c r="J127" i="3"/>
  <c r="N126" i="3"/>
  <c r="M126" i="3"/>
  <c r="L126" i="3"/>
  <c r="K126" i="3"/>
  <c r="J126" i="3"/>
  <c r="N125" i="3"/>
  <c r="M125" i="3"/>
  <c r="L125" i="3"/>
  <c r="K125" i="3"/>
  <c r="J125" i="3"/>
  <c r="N124" i="3"/>
  <c r="M124" i="3"/>
  <c r="L124" i="3"/>
  <c r="K124" i="3"/>
  <c r="J124" i="3"/>
  <c r="N123" i="3"/>
  <c r="M123" i="3"/>
  <c r="L123" i="3"/>
  <c r="K123" i="3"/>
  <c r="J123" i="3"/>
  <c r="N122" i="3"/>
  <c r="M122" i="3"/>
  <c r="L122" i="3"/>
  <c r="K122" i="3"/>
  <c r="J122" i="3"/>
  <c r="N121" i="3"/>
  <c r="M121" i="3"/>
  <c r="L121" i="3"/>
  <c r="K121" i="3"/>
  <c r="J121" i="3"/>
  <c r="N120" i="3"/>
  <c r="M120" i="3"/>
  <c r="L120" i="3"/>
  <c r="K120" i="3"/>
  <c r="J120" i="3"/>
  <c r="N119" i="3"/>
  <c r="M119" i="3"/>
  <c r="L119" i="3"/>
  <c r="K119" i="3"/>
  <c r="J119" i="3"/>
  <c r="N118" i="3"/>
  <c r="M118" i="3"/>
  <c r="L118" i="3"/>
  <c r="K118" i="3"/>
  <c r="J118" i="3"/>
  <c r="N117" i="3"/>
  <c r="M117" i="3"/>
  <c r="L117" i="3"/>
  <c r="K117" i="3"/>
  <c r="J117" i="3"/>
  <c r="N116" i="3"/>
  <c r="M116" i="3"/>
  <c r="L116" i="3"/>
  <c r="K116" i="3"/>
  <c r="J116" i="3"/>
  <c r="N115" i="3"/>
  <c r="M115" i="3"/>
  <c r="L115" i="3"/>
  <c r="K115" i="3"/>
  <c r="J115" i="3"/>
  <c r="N114" i="3"/>
  <c r="M114" i="3"/>
  <c r="L114" i="3"/>
  <c r="K114" i="3"/>
  <c r="J114" i="3"/>
  <c r="N113" i="3"/>
  <c r="M113" i="3"/>
  <c r="L113" i="3"/>
  <c r="K113" i="3"/>
  <c r="J113" i="3"/>
  <c r="N112" i="3"/>
  <c r="M112" i="3"/>
  <c r="L112" i="3"/>
  <c r="K112" i="3"/>
  <c r="J112" i="3"/>
  <c r="N111" i="3"/>
  <c r="M111" i="3"/>
  <c r="L111" i="3"/>
  <c r="K111" i="3"/>
  <c r="J111" i="3"/>
  <c r="N110" i="3"/>
  <c r="M110" i="3"/>
  <c r="L110" i="3"/>
  <c r="K110" i="3"/>
  <c r="J110" i="3"/>
  <c r="N109" i="3"/>
  <c r="M109" i="3"/>
  <c r="L109" i="3"/>
  <c r="K109" i="3"/>
  <c r="J109" i="3"/>
  <c r="N108" i="3"/>
  <c r="M108" i="3"/>
  <c r="L108" i="3"/>
  <c r="K108" i="3"/>
  <c r="J108" i="3"/>
  <c r="N107" i="3"/>
  <c r="M107" i="3"/>
  <c r="L107" i="3"/>
  <c r="K107" i="3"/>
  <c r="J107" i="3"/>
  <c r="N106" i="3"/>
  <c r="M106" i="3"/>
  <c r="L106" i="3"/>
  <c r="K106" i="3"/>
  <c r="J106" i="3"/>
  <c r="N105" i="3"/>
  <c r="M105" i="3"/>
  <c r="L105" i="3"/>
  <c r="K105" i="3"/>
  <c r="J105" i="3"/>
  <c r="N104" i="3"/>
  <c r="M104" i="3"/>
  <c r="L104" i="3"/>
  <c r="K104" i="3"/>
  <c r="J104" i="3"/>
  <c r="N103" i="3"/>
  <c r="M103" i="3"/>
  <c r="L103" i="3"/>
  <c r="K103" i="3"/>
  <c r="J103" i="3"/>
  <c r="N102" i="3"/>
  <c r="M102" i="3"/>
  <c r="L102" i="3"/>
  <c r="K102" i="3"/>
  <c r="J102" i="3"/>
  <c r="N101" i="3"/>
  <c r="M101" i="3"/>
  <c r="L101" i="3"/>
  <c r="K101" i="3"/>
  <c r="J101" i="3"/>
  <c r="N100" i="3"/>
  <c r="M100" i="3"/>
  <c r="L100" i="3"/>
  <c r="K100" i="3"/>
  <c r="J100" i="3"/>
  <c r="N99" i="3"/>
  <c r="M99" i="3"/>
  <c r="L99" i="3"/>
  <c r="K99" i="3"/>
  <c r="J99" i="3"/>
  <c r="N98" i="3"/>
  <c r="M98" i="3"/>
  <c r="L98" i="3"/>
  <c r="K98" i="3"/>
  <c r="J98" i="3"/>
  <c r="N97" i="3"/>
  <c r="M97" i="3"/>
  <c r="L97" i="3"/>
  <c r="K97" i="3"/>
  <c r="J97" i="3"/>
  <c r="N96" i="3"/>
  <c r="M96" i="3"/>
  <c r="L96" i="3"/>
  <c r="K96" i="3"/>
  <c r="J96" i="3"/>
  <c r="N95" i="3"/>
  <c r="M95" i="3"/>
  <c r="L95" i="3"/>
  <c r="K95" i="3"/>
  <c r="J95" i="3"/>
  <c r="N94" i="3"/>
  <c r="M94" i="3"/>
  <c r="L94" i="3"/>
  <c r="K94" i="3"/>
  <c r="J94" i="3"/>
  <c r="N93" i="3"/>
  <c r="M93" i="3"/>
  <c r="L93" i="3"/>
  <c r="K93" i="3"/>
  <c r="J93" i="3"/>
  <c r="N92" i="3"/>
  <c r="M92" i="3"/>
  <c r="L92" i="3"/>
  <c r="K92" i="3"/>
  <c r="J92" i="3"/>
  <c r="N91" i="3"/>
  <c r="M91" i="3"/>
  <c r="L91" i="3"/>
  <c r="K91" i="3"/>
  <c r="J91" i="3"/>
  <c r="N90" i="3"/>
  <c r="M90" i="3"/>
  <c r="L90" i="3"/>
  <c r="K90" i="3"/>
  <c r="J90" i="3"/>
  <c r="N89" i="3"/>
  <c r="M89" i="3"/>
  <c r="L89" i="3"/>
  <c r="K89" i="3"/>
  <c r="J89" i="3"/>
  <c r="N88" i="3"/>
  <c r="M88" i="3"/>
  <c r="L88" i="3"/>
  <c r="K88" i="3"/>
  <c r="J88" i="3"/>
  <c r="N87" i="3"/>
  <c r="M87" i="3"/>
  <c r="L87" i="3"/>
  <c r="K87" i="3"/>
  <c r="J87" i="3"/>
  <c r="N86" i="3"/>
  <c r="M86" i="3"/>
  <c r="L86" i="3"/>
  <c r="K86" i="3"/>
  <c r="J86" i="3"/>
  <c r="N85" i="3"/>
  <c r="M85" i="3"/>
  <c r="L85" i="3"/>
  <c r="K85" i="3"/>
  <c r="J85" i="3"/>
  <c r="N84" i="3"/>
  <c r="M84" i="3"/>
  <c r="L84" i="3"/>
  <c r="K84" i="3"/>
  <c r="J84" i="3"/>
  <c r="N83" i="3"/>
  <c r="M83" i="3"/>
  <c r="L83" i="3"/>
  <c r="K83" i="3"/>
  <c r="J83" i="3"/>
  <c r="N82" i="3"/>
  <c r="M82" i="3"/>
  <c r="L82" i="3"/>
  <c r="K82" i="3"/>
  <c r="J82" i="3"/>
  <c r="N81" i="3"/>
  <c r="M81" i="3"/>
  <c r="L81" i="3"/>
  <c r="K81" i="3"/>
  <c r="J81" i="3"/>
  <c r="N80" i="3"/>
  <c r="M80" i="3"/>
  <c r="L80" i="3"/>
  <c r="K80" i="3"/>
  <c r="J80" i="3"/>
  <c r="N79" i="3"/>
  <c r="M79" i="3"/>
  <c r="L79" i="3"/>
  <c r="K79" i="3"/>
  <c r="J79" i="3"/>
  <c r="N78" i="3"/>
  <c r="M78" i="3"/>
  <c r="L78" i="3"/>
  <c r="K78" i="3"/>
  <c r="J78" i="3"/>
  <c r="N77" i="3"/>
  <c r="M77" i="3"/>
  <c r="L77" i="3"/>
  <c r="K77" i="3"/>
  <c r="J77" i="3"/>
  <c r="N76" i="3"/>
  <c r="M76" i="3"/>
  <c r="L76" i="3"/>
  <c r="K76" i="3"/>
  <c r="J76" i="3"/>
  <c r="N75" i="3"/>
  <c r="M75" i="3"/>
  <c r="L75" i="3"/>
  <c r="K75" i="3"/>
  <c r="J75" i="3"/>
  <c r="N74" i="3"/>
  <c r="M74" i="3"/>
  <c r="L74" i="3"/>
  <c r="K74" i="3"/>
  <c r="J74" i="3"/>
  <c r="N73" i="3"/>
  <c r="M73" i="3"/>
  <c r="L73" i="3"/>
  <c r="K73" i="3"/>
  <c r="J73" i="3"/>
  <c r="N72" i="3"/>
  <c r="M72" i="3"/>
  <c r="L72" i="3"/>
  <c r="K72" i="3"/>
  <c r="J72" i="3"/>
  <c r="N71" i="3"/>
  <c r="M71" i="3"/>
  <c r="L71" i="3"/>
  <c r="K71" i="3"/>
  <c r="J71" i="3"/>
  <c r="N70" i="3"/>
  <c r="M70" i="3"/>
  <c r="L70" i="3"/>
  <c r="K70" i="3"/>
  <c r="J70" i="3"/>
  <c r="N69" i="3"/>
  <c r="M69" i="3"/>
  <c r="L69" i="3"/>
  <c r="K69" i="3"/>
  <c r="J69" i="3"/>
  <c r="N68" i="3"/>
  <c r="M68" i="3"/>
  <c r="L68" i="3"/>
  <c r="K68" i="3"/>
  <c r="J68" i="3"/>
  <c r="N67" i="3"/>
  <c r="M67" i="3"/>
  <c r="L67" i="3"/>
  <c r="K67" i="3"/>
  <c r="J67" i="3"/>
  <c r="N66" i="3"/>
  <c r="M66" i="3"/>
  <c r="L66" i="3"/>
  <c r="K66" i="3"/>
  <c r="J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L62" i="3"/>
  <c r="K62" i="3"/>
  <c r="J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N55" i="3"/>
  <c r="M55" i="3"/>
  <c r="L55" i="3"/>
  <c r="K55" i="3"/>
  <c r="J55" i="3"/>
  <c r="N54" i="3"/>
  <c r="M54" i="3"/>
  <c r="L54" i="3"/>
  <c r="K54" i="3"/>
  <c r="J54" i="3"/>
  <c r="N53" i="3"/>
  <c r="M53" i="3"/>
  <c r="L53" i="3"/>
  <c r="K53" i="3"/>
  <c r="J53" i="3"/>
  <c r="N52" i="3"/>
  <c r="M52" i="3"/>
  <c r="L52" i="3"/>
  <c r="K52" i="3"/>
  <c r="J52" i="3"/>
  <c r="N51" i="3"/>
  <c r="M51" i="3"/>
  <c r="L51" i="3"/>
  <c r="K51" i="3"/>
  <c r="J51" i="3"/>
  <c r="N50" i="3"/>
  <c r="M50" i="3"/>
  <c r="L50" i="3"/>
  <c r="K50" i="3"/>
  <c r="J50" i="3"/>
  <c r="N49" i="3"/>
  <c r="M49" i="3"/>
  <c r="L49" i="3"/>
  <c r="K49" i="3"/>
  <c r="J49" i="3"/>
  <c r="N48" i="3"/>
  <c r="M48" i="3"/>
  <c r="L48" i="3"/>
  <c r="K48" i="3"/>
  <c r="J48" i="3"/>
  <c r="N47" i="3"/>
  <c r="M47" i="3"/>
  <c r="L47" i="3"/>
  <c r="K47" i="3"/>
  <c r="J47" i="3"/>
  <c r="N46" i="3"/>
  <c r="M46" i="3"/>
  <c r="L46" i="3"/>
  <c r="K46" i="3"/>
  <c r="J46" i="3"/>
  <c r="N45" i="3"/>
  <c r="M45" i="3"/>
  <c r="L45" i="3"/>
  <c r="K45" i="3"/>
  <c r="J45" i="3"/>
  <c r="N44" i="3"/>
  <c r="M44" i="3"/>
  <c r="L44" i="3"/>
  <c r="K44" i="3"/>
  <c r="J44" i="3"/>
  <c r="N43" i="3"/>
  <c r="M43" i="3"/>
  <c r="L43" i="3"/>
  <c r="K43" i="3"/>
  <c r="J43" i="3"/>
  <c r="N42" i="3"/>
  <c r="M42" i="3"/>
  <c r="L42" i="3"/>
  <c r="K42" i="3"/>
  <c r="J42" i="3"/>
  <c r="N41" i="3"/>
  <c r="M41" i="3"/>
  <c r="L41" i="3"/>
  <c r="K41" i="3"/>
  <c r="J41" i="3"/>
  <c r="N40" i="3"/>
  <c r="M40" i="3"/>
  <c r="L40" i="3"/>
  <c r="K40" i="3"/>
  <c r="J40" i="3"/>
  <c r="N39" i="3"/>
  <c r="M39" i="3"/>
  <c r="L39" i="3"/>
  <c r="K39" i="3"/>
  <c r="J39" i="3"/>
  <c r="N38" i="3"/>
  <c r="M38" i="3"/>
  <c r="L38" i="3"/>
  <c r="K38" i="3"/>
  <c r="J38" i="3"/>
  <c r="N37" i="3"/>
  <c r="M37" i="3"/>
  <c r="L37" i="3"/>
  <c r="K37" i="3"/>
  <c r="J37" i="3"/>
  <c r="N36" i="3"/>
  <c r="M36" i="3"/>
  <c r="L36" i="3"/>
  <c r="K36" i="3"/>
  <c r="J36" i="3"/>
  <c r="N35" i="3"/>
  <c r="M35" i="3"/>
  <c r="L35" i="3"/>
  <c r="K35" i="3"/>
  <c r="J35" i="3"/>
  <c r="N34" i="3"/>
  <c r="M34" i="3"/>
  <c r="L34" i="3"/>
  <c r="K34" i="3"/>
  <c r="J34" i="3"/>
  <c r="N33" i="3"/>
  <c r="M33" i="3"/>
  <c r="L33" i="3"/>
  <c r="K33" i="3"/>
  <c r="J33" i="3"/>
  <c r="N32" i="3"/>
  <c r="M32" i="3"/>
  <c r="L32" i="3"/>
  <c r="K32" i="3"/>
  <c r="J32" i="3"/>
  <c r="N31" i="3"/>
  <c r="M31" i="3"/>
  <c r="L31" i="3"/>
  <c r="K31" i="3"/>
  <c r="J31" i="3"/>
  <c r="N30" i="3"/>
  <c r="M30" i="3"/>
  <c r="L30" i="3"/>
  <c r="K30" i="3"/>
  <c r="J30" i="3"/>
  <c r="N29" i="3"/>
  <c r="M29" i="3"/>
  <c r="L29" i="3"/>
  <c r="K29" i="3"/>
  <c r="J29" i="3"/>
  <c r="N28" i="3"/>
  <c r="M28" i="3"/>
  <c r="L28" i="3"/>
  <c r="K28" i="3"/>
  <c r="J28" i="3"/>
  <c r="N27" i="3"/>
  <c r="M27" i="3"/>
  <c r="L27" i="3"/>
  <c r="K27" i="3"/>
  <c r="J27" i="3"/>
  <c r="N26" i="3"/>
  <c r="M26" i="3"/>
  <c r="L26" i="3"/>
  <c r="K26" i="3"/>
  <c r="J26" i="3"/>
  <c r="N25" i="3"/>
  <c r="M25" i="3"/>
  <c r="L25" i="3"/>
  <c r="K25" i="3"/>
  <c r="J25" i="3"/>
  <c r="N24" i="3"/>
  <c r="M24" i="3"/>
  <c r="L24" i="3"/>
  <c r="K24" i="3"/>
  <c r="J24" i="3"/>
  <c r="N23" i="3"/>
  <c r="M23" i="3"/>
  <c r="L23" i="3"/>
  <c r="K23" i="3"/>
  <c r="J23" i="3"/>
  <c r="N22" i="3"/>
  <c r="M22" i="3"/>
  <c r="L22" i="3"/>
  <c r="K22" i="3"/>
  <c r="J22" i="3"/>
  <c r="N21" i="3"/>
  <c r="M21" i="3"/>
  <c r="L21" i="3"/>
  <c r="K21" i="3"/>
  <c r="J21" i="3"/>
  <c r="N20" i="3"/>
  <c r="M20" i="3"/>
  <c r="L20" i="3"/>
  <c r="K20" i="3"/>
  <c r="J20" i="3"/>
  <c r="N19" i="3"/>
  <c r="M19" i="3"/>
  <c r="L19" i="3"/>
  <c r="K19" i="3"/>
  <c r="J19" i="3"/>
  <c r="N18" i="3"/>
  <c r="M18" i="3"/>
  <c r="L18" i="3"/>
  <c r="K18" i="3"/>
  <c r="J18" i="3"/>
  <c r="N17" i="3"/>
  <c r="M17" i="3"/>
  <c r="L17" i="3"/>
  <c r="K17" i="3"/>
  <c r="J17" i="3"/>
  <c r="N16" i="3"/>
  <c r="M16" i="3"/>
  <c r="L16" i="3"/>
  <c r="K16" i="3"/>
  <c r="J16" i="3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N2" i="3"/>
  <c r="E5" i="7" s="1"/>
  <c r="M2" i="3"/>
  <c r="D6" i="6" s="1"/>
  <c r="L2" i="3"/>
  <c r="K2" i="3"/>
  <c r="J2" i="3"/>
  <c r="B14" i="8" s="1"/>
  <c r="B7" i="1"/>
  <c r="B6" i="1"/>
  <c r="B4" i="1"/>
  <c r="B5" i="1" s="1"/>
  <c r="B3" i="1"/>
  <c r="B8" i="1" s="1"/>
  <c r="B3" i="4" l="1"/>
  <c r="B4" i="4"/>
  <c r="B5" i="4"/>
  <c r="B6" i="4"/>
  <c r="D6" i="4" s="1"/>
  <c r="B3" i="6"/>
  <c r="C4" i="6"/>
  <c r="D5" i="6"/>
  <c r="B3" i="7"/>
  <c r="D3" i="7" s="1"/>
  <c r="B4" i="7"/>
  <c r="D4" i="7" s="1"/>
  <c r="B5" i="7"/>
  <c r="B3" i="8"/>
  <c r="B7" i="8"/>
  <c r="B11" i="8"/>
  <c r="C3" i="4"/>
  <c r="C4" i="4"/>
  <c r="C5" i="4"/>
  <c r="C6" i="4"/>
  <c r="C3" i="6"/>
  <c r="D4" i="6"/>
  <c r="B6" i="6"/>
  <c r="C3" i="7"/>
  <c r="C4" i="7"/>
  <c r="C5" i="7"/>
  <c r="B4" i="8"/>
  <c r="B8" i="8"/>
  <c r="B12" i="8"/>
  <c r="D3" i="6"/>
  <c r="B5" i="6"/>
  <c r="C6" i="6"/>
  <c r="B5" i="8"/>
  <c r="B9" i="8"/>
  <c r="B13" i="8"/>
  <c r="E3" i="4"/>
  <c r="E4" i="4"/>
  <c r="E5" i="4"/>
  <c r="E6" i="4"/>
  <c r="B4" i="6"/>
  <c r="C5" i="6"/>
  <c r="E3" i="7"/>
  <c r="E4" i="7"/>
  <c r="B6" i="8"/>
  <c r="B10" i="8"/>
  <c r="D5" i="4" l="1"/>
  <c r="D5" i="7"/>
  <c r="D4" i="4"/>
  <c r="D3" i="4"/>
</calcChain>
</file>

<file path=xl/sharedStrings.xml><?xml version="1.0" encoding="utf-8"?>
<sst xmlns="http://schemas.openxmlformats.org/spreadsheetml/2006/main" count="8105" uniqueCount="2170">
  <si>
    <t>Task 2 - Business KPI Dashboard Summary</t>
  </si>
  <si>
    <t>KPI</t>
  </si>
  <si>
    <t>Value</t>
  </si>
  <si>
    <t>Total Sales</t>
  </si>
  <si>
    <t>Total Profit</t>
  </si>
  <si>
    <t>Overall Profit Margin</t>
  </si>
  <si>
    <t>Total Orders</t>
  </si>
  <si>
    <t>Total Customers</t>
  </si>
  <si>
    <t>Average Order Value (AOV)</t>
  </si>
  <si>
    <t>Customer_ID</t>
  </si>
  <si>
    <t>Customer_Name</t>
  </si>
  <si>
    <t>Region</t>
  </si>
  <si>
    <t>Segment</t>
  </si>
  <si>
    <t>Gender</t>
  </si>
  <si>
    <t>Age</t>
  </si>
  <si>
    <t>CUST001</t>
  </si>
  <si>
    <t>John Walker</t>
  </si>
  <si>
    <t>North</t>
  </si>
  <si>
    <t>Home Office</t>
  </si>
  <si>
    <t>Male</t>
  </si>
  <si>
    <t>CUST002</t>
  </si>
  <si>
    <t>Steven Moore</t>
  </si>
  <si>
    <t>South</t>
  </si>
  <si>
    <t>Consumer</t>
  </si>
  <si>
    <t>Female</t>
  </si>
  <si>
    <t>CUST003</t>
  </si>
  <si>
    <t>Nancy Wright</t>
  </si>
  <si>
    <t>CUST004</t>
  </si>
  <si>
    <t>John Ramirez</t>
  </si>
  <si>
    <t>Corporate</t>
  </si>
  <si>
    <t>CUST005</t>
  </si>
  <si>
    <t>William Brown</t>
  </si>
  <si>
    <t>East</t>
  </si>
  <si>
    <t>CUST006</t>
  </si>
  <si>
    <t>Anthony Flores</t>
  </si>
  <si>
    <t>CUST007</t>
  </si>
  <si>
    <t>Andrew Walker</t>
  </si>
  <si>
    <t>West</t>
  </si>
  <si>
    <t>CUST008</t>
  </si>
  <si>
    <t>Emily Young</t>
  </si>
  <si>
    <t>CUST009</t>
  </si>
  <si>
    <t>Margaret Garcia</t>
  </si>
  <si>
    <t>CUST010</t>
  </si>
  <si>
    <t>Dorothy Jackson</t>
  </si>
  <si>
    <t>CUST011</t>
  </si>
  <si>
    <t>Margaret Anderson</t>
  </si>
  <si>
    <t>CUST012</t>
  </si>
  <si>
    <t>Elizabeth Nguyen</t>
  </si>
  <si>
    <t>CUST013</t>
  </si>
  <si>
    <t>Michelle Sanchez</t>
  </si>
  <si>
    <t>CUST014</t>
  </si>
  <si>
    <t>Christopher Allen</t>
  </si>
  <si>
    <t>CUST015</t>
  </si>
  <si>
    <t>Betty Moore</t>
  </si>
  <si>
    <t>CUST016</t>
  </si>
  <si>
    <t>Daniel Martinez</t>
  </si>
  <si>
    <t>CUST017</t>
  </si>
  <si>
    <t>John Thompson</t>
  </si>
  <si>
    <t>CUST018</t>
  </si>
  <si>
    <t>Brian Williams</t>
  </si>
  <si>
    <t>CUST019</t>
  </si>
  <si>
    <t>Kevin King</t>
  </si>
  <si>
    <t>CUST020</t>
  </si>
  <si>
    <t>Susan Sanchez</t>
  </si>
  <si>
    <t>CUST021</t>
  </si>
  <si>
    <t>David Walker</t>
  </si>
  <si>
    <t>CUST022</t>
  </si>
  <si>
    <t>Emily Anderson</t>
  </si>
  <si>
    <t>CUST023</t>
  </si>
  <si>
    <t>Patricia Hill</t>
  </si>
  <si>
    <t>CUST024</t>
  </si>
  <si>
    <t>Daniel Scott</t>
  </si>
  <si>
    <t>CUST025</t>
  </si>
  <si>
    <t>Kimberly Young</t>
  </si>
  <si>
    <t>CUST026</t>
  </si>
  <si>
    <t>Donna Davis</t>
  </si>
  <si>
    <t>CUST027</t>
  </si>
  <si>
    <t>Charles Jackson</t>
  </si>
  <si>
    <t>CUST028</t>
  </si>
  <si>
    <t>Matthew Johnson</t>
  </si>
  <si>
    <t>CUST029</t>
  </si>
  <si>
    <t>Betty Miller</t>
  </si>
  <si>
    <t>CUST030</t>
  </si>
  <si>
    <t>Donna Ramirez</t>
  </si>
  <si>
    <t>CUST031</t>
  </si>
  <si>
    <t>George Robinson</t>
  </si>
  <si>
    <t>CUST032</t>
  </si>
  <si>
    <t>Charles Hill</t>
  </si>
  <si>
    <t>CUST033</t>
  </si>
  <si>
    <t>Christopher Wilson</t>
  </si>
  <si>
    <t>CUST034</t>
  </si>
  <si>
    <t>Amanda Anderson</t>
  </si>
  <si>
    <t>CUST035</t>
  </si>
  <si>
    <t>Patricia Jackson</t>
  </si>
  <si>
    <t>CUST036</t>
  </si>
  <si>
    <t>Michelle Davis</t>
  </si>
  <si>
    <t>CUST037</t>
  </si>
  <si>
    <t>Lisa Garcia</t>
  </si>
  <si>
    <t>CUST038</t>
  </si>
  <si>
    <t>Paul Martin</t>
  </si>
  <si>
    <t>CUST039</t>
  </si>
  <si>
    <t>Thomas Martinez</t>
  </si>
  <si>
    <t>CUST040</t>
  </si>
  <si>
    <t>Mark Clark</t>
  </si>
  <si>
    <t>CUST041</t>
  </si>
  <si>
    <t>Melissa Moore</t>
  </si>
  <si>
    <t>CUST042</t>
  </si>
  <si>
    <t>David King</t>
  </si>
  <si>
    <t>CUST043</t>
  </si>
  <si>
    <t>Ashley Lewis</t>
  </si>
  <si>
    <t>CUST044</t>
  </si>
  <si>
    <t>John Gonzalez</t>
  </si>
  <si>
    <t>CUST045</t>
  </si>
  <si>
    <t>Joshua King</t>
  </si>
  <si>
    <t>CUST046</t>
  </si>
  <si>
    <t>Nancy Allen</t>
  </si>
  <si>
    <t>CUST047</t>
  </si>
  <si>
    <t>Kevin Thomas</t>
  </si>
  <si>
    <t>CUST048</t>
  </si>
  <si>
    <t>Brian Lopez</t>
  </si>
  <si>
    <t>CUST049</t>
  </si>
  <si>
    <t>Barbara Ramirez</t>
  </si>
  <si>
    <t>CUST050</t>
  </si>
  <si>
    <t>Ashley Garcia</t>
  </si>
  <si>
    <t>CUST051</t>
  </si>
  <si>
    <t>Dorothy Davis</t>
  </si>
  <si>
    <t>CUST052</t>
  </si>
  <si>
    <t>Kenneth Smith</t>
  </si>
  <si>
    <t>CUST053</t>
  </si>
  <si>
    <t>Michelle Young</t>
  </si>
  <si>
    <t>CUST054</t>
  </si>
  <si>
    <t>Michelle Clark</t>
  </si>
  <si>
    <t>CUST055</t>
  </si>
  <si>
    <t>Lisa Lewis</t>
  </si>
  <si>
    <t>CUST056</t>
  </si>
  <si>
    <t>Susan Young</t>
  </si>
  <si>
    <t>CUST057</t>
  </si>
  <si>
    <t>Betty Jackson</t>
  </si>
  <si>
    <t>CUST058</t>
  </si>
  <si>
    <t>Margaret Thompson</t>
  </si>
  <si>
    <t>CUST059</t>
  </si>
  <si>
    <t>Mary Garcia</t>
  </si>
  <si>
    <t>CUST060</t>
  </si>
  <si>
    <t>Richard Jones</t>
  </si>
  <si>
    <t>CUST061</t>
  </si>
  <si>
    <t>Nancy Clark</t>
  </si>
  <si>
    <t>CUST062</t>
  </si>
  <si>
    <t>Steven Jackson</t>
  </si>
  <si>
    <t>CUST063</t>
  </si>
  <si>
    <t>Kevin Thompson</t>
  </si>
  <si>
    <t>CUST064</t>
  </si>
  <si>
    <t>Patricia Walker</t>
  </si>
  <si>
    <t>CUST065</t>
  </si>
  <si>
    <t>Mark Sanchez</t>
  </si>
  <si>
    <t>CUST066</t>
  </si>
  <si>
    <t>Mark Thompson</t>
  </si>
  <si>
    <t>CUST067</t>
  </si>
  <si>
    <t>CUST068</t>
  </si>
  <si>
    <t>Michelle Gonzalez</t>
  </si>
  <si>
    <t>CUST069</t>
  </si>
  <si>
    <t>Donald Johnson</t>
  </si>
  <si>
    <t>CUST070</t>
  </si>
  <si>
    <t>Sarah Moore</t>
  </si>
  <si>
    <t>CUST071</t>
  </si>
  <si>
    <t>Deborah Rodriguez</t>
  </si>
  <si>
    <t>CUST072</t>
  </si>
  <si>
    <t>Susan Taylor</t>
  </si>
  <si>
    <t>CUST073</t>
  </si>
  <si>
    <t>Deborah Wright</t>
  </si>
  <si>
    <t>CUST074</t>
  </si>
  <si>
    <t>Mary Martinez</t>
  </si>
  <si>
    <t>CUST075</t>
  </si>
  <si>
    <t>Dorothy Williams</t>
  </si>
  <si>
    <t>CUST076</t>
  </si>
  <si>
    <t>Kevin Lopez</t>
  </si>
  <si>
    <t>CUST077</t>
  </si>
  <si>
    <t>Amanda Lopez</t>
  </si>
  <si>
    <t>CUST078</t>
  </si>
  <si>
    <t>CUST079</t>
  </si>
  <si>
    <t>Michael Thompson</t>
  </si>
  <si>
    <t>CUST080</t>
  </si>
  <si>
    <t>Margaret Young</t>
  </si>
  <si>
    <t>CUST081</t>
  </si>
  <si>
    <t>Deborah Clark</t>
  </si>
  <si>
    <t>CUST082</t>
  </si>
  <si>
    <t>Christopher Taylor</t>
  </si>
  <si>
    <t>CUST083</t>
  </si>
  <si>
    <t>CUST084</t>
  </si>
  <si>
    <t>Thomas Miller</t>
  </si>
  <si>
    <t>CUST085</t>
  </si>
  <si>
    <t>Thomas Smith</t>
  </si>
  <si>
    <t>CUST086</t>
  </si>
  <si>
    <t>Jennifer Brown</t>
  </si>
  <si>
    <t>CUST087</t>
  </si>
  <si>
    <t>Joshua Lewis</t>
  </si>
  <si>
    <t>CUST088</t>
  </si>
  <si>
    <t>Paul Jackson</t>
  </si>
  <si>
    <t>CUST089</t>
  </si>
  <si>
    <t>Emily Miller</t>
  </si>
  <si>
    <t>CUST090</t>
  </si>
  <si>
    <t>Amanda Lee</t>
  </si>
  <si>
    <t>CUST091</t>
  </si>
  <si>
    <t>George Miller</t>
  </si>
  <si>
    <t>CUST092</t>
  </si>
  <si>
    <t>Matthew Ramirez</t>
  </si>
  <si>
    <t>CUST093</t>
  </si>
  <si>
    <t>Matthew Moore</t>
  </si>
  <si>
    <t>CUST094</t>
  </si>
  <si>
    <t>David Thomas</t>
  </si>
  <si>
    <t>CUST095</t>
  </si>
  <si>
    <t>Barbara Gonzalez</t>
  </si>
  <si>
    <t>CUST096</t>
  </si>
  <si>
    <t>Paul Sanchez</t>
  </si>
  <si>
    <t>CUST097</t>
  </si>
  <si>
    <t>Donald Anderson</t>
  </si>
  <si>
    <t>CUST098</t>
  </si>
  <si>
    <t>Melissa Brown</t>
  </si>
  <si>
    <t>CUST099</t>
  </si>
  <si>
    <t>Sarah Jones</t>
  </si>
  <si>
    <t>CUST100</t>
  </si>
  <si>
    <t>Thomas Hill</t>
  </si>
  <si>
    <t>CUST101</t>
  </si>
  <si>
    <t>Charles Torres</t>
  </si>
  <si>
    <t>CUST102</t>
  </si>
  <si>
    <t>CUST103</t>
  </si>
  <si>
    <t>Daniel Hernandez</t>
  </si>
  <si>
    <t>CUST104</t>
  </si>
  <si>
    <t>Joshua Hill</t>
  </si>
  <si>
    <t>CUST105</t>
  </si>
  <si>
    <t>CUST106</t>
  </si>
  <si>
    <t>Susan Lewis</t>
  </si>
  <si>
    <t>CUST107</t>
  </si>
  <si>
    <t>Michelle Moore</t>
  </si>
  <si>
    <t>CUST108</t>
  </si>
  <si>
    <t>Andrew Hernandez</t>
  </si>
  <si>
    <t>CUST109</t>
  </si>
  <si>
    <t>Patricia Brown</t>
  </si>
  <si>
    <t>CUST110</t>
  </si>
  <si>
    <t>Daniel Torres</t>
  </si>
  <si>
    <t>CUST111</t>
  </si>
  <si>
    <t>Michael Jackson</t>
  </si>
  <si>
    <t>CUST112</t>
  </si>
  <si>
    <t>Emily Rodriguez</t>
  </si>
  <si>
    <t>CUST113</t>
  </si>
  <si>
    <t>Andrew Gonzalez</t>
  </si>
  <si>
    <t>CUST114</t>
  </si>
  <si>
    <t>Kenneth White</t>
  </si>
  <si>
    <t>CUST115</t>
  </si>
  <si>
    <t>Betty Davis</t>
  </si>
  <si>
    <t>CUST116</t>
  </si>
  <si>
    <t>Lisa Wright</t>
  </si>
  <si>
    <t>CUST117</t>
  </si>
  <si>
    <t>James Walker</t>
  </si>
  <si>
    <t>CUST118</t>
  </si>
  <si>
    <t>Matthew Lewis</t>
  </si>
  <si>
    <t>CUST119</t>
  </si>
  <si>
    <t>Kimberly Moore</t>
  </si>
  <si>
    <t>CUST120</t>
  </si>
  <si>
    <t>Jessica Sanchez</t>
  </si>
  <si>
    <t>CUST121</t>
  </si>
  <si>
    <t>Linda White</t>
  </si>
  <si>
    <t>CUST122</t>
  </si>
  <si>
    <t>John Sanchez</t>
  </si>
  <si>
    <t>CUST123</t>
  </si>
  <si>
    <t>Ashley Brown</t>
  </si>
  <si>
    <t>CUST124</t>
  </si>
  <si>
    <t>Donna Taylor</t>
  </si>
  <si>
    <t>CUST125</t>
  </si>
  <si>
    <t>Michelle Johnson</t>
  </si>
  <si>
    <t>CUST126</t>
  </si>
  <si>
    <t>David Martin</t>
  </si>
  <si>
    <t>CUST127</t>
  </si>
  <si>
    <t>Elizabeth Wilson</t>
  </si>
  <si>
    <t>CUST128</t>
  </si>
  <si>
    <t>Kimberly Garcia</t>
  </si>
  <si>
    <t>CUST129</t>
  </si>
  <si>
    <t>Kimberly Jones</t>
  </si>
  <si>
    <t>CUST130</t>
  </si>
  <si>
    <t>David White</t>
  </si>
  <si>
    <t>CUST131</t>
  </si>
  <si>
    <t>Michelle Miller</t>
  </si>
  <si>
    <t>CUST132</t>
  </si>
  <si>
    <t>Joseph Nguyen</t>
  </si>
  <si>
    <t>CUST133</t>
  </si>
  <si>
    <t>Deborah White</t>
  </si>
  <si>
    <t>CUST134</t>
  </si>
  <si>
    <t>Daniel Wilson</t>
  </si>
  <si>
    <t>CUST135</t>
  </si>
  <si>
    <t>Donald White</t>
  </si>
  <si>
    <t>CUST136</t>
  </si>
  <si>
    <t>Joseph Smith</t>
  </si>
  <si>
    <t>CUST137</t>
  </si>
  <si>
    <t>Linda Hill</t>
  </si>
  <si>
    <t>CUST138</t>
  </si>
  <si>
    <t>Christopher Martin</t>
  </si>
  <si>
    <t>CUST139</t>
  </si>
  <si>
    <t>Lisa Young</t>
  </si>
  <si>
    <t>CUST140</t>
  </si>
  <si>
    <t>CUST141</t>
  </si>
  <si>
    <t>Susan Martin</t>
  </si>
  <si>
    <t>CUST142</t>
  </si>
  <si>
    <t>Kimberly Martin</t>
  </si>
  <si>
    <t>CUST143</t>
  </si>
  <si>
    <t>Daniel Nguyen</t>
  </si>
  <si>
    <t>CUST144</t>
  </si>
  <si>
    <t>David Thompson</t>
  </si>
  <si>
    <t>CUST145</t>
  </si>
  <si>
    <t>CUST146</t>
  </si>
  <si>
    <t>Kenneth Hernandez</t>
  </si>
  <si>
    <t>CUST147</t>
  </si>
  <si>
    <t>Melissa Wilson</t>
  </si>
  <si>
    <t>CUST148</t>
  </si>
  <si>
    <t>Betty Lee</t>
  </si>
  <si>
    <t>CUST149</t>
  </si>
  <si>
    <t>Kevin Moore</t>
  </si>
  <si>
    <t>CUST150</t>
  </si>
  <si>
    <t>CUST151</t>
  </si>
  <si>
    <t>Charles King</t>
  </si>
  <si>
    <t>CUST152</t>
  </si>
  <si>
    <t>James Scott</t>
  </si>
  <si>
    <t>CUST153</t>
  </si>
  <si>
    <t>Betty Garcia</t>
  </si>
  <si>
    <t>CUST154</t>
  </si>
  <si>
    <t>Jessica Thompson</t>
  </si>
  <si>
    <t>CUST155</t>
  </si>
  <si>
    <t>Jessica Jones</t>
  </si>
  <si>
    <t>CUST156</t>
  </si>
  <si>
    <t>Kimberly Clark</t>
  </si>
  <si>
    <t>CUST157</t>
  </si>
  <si>
    <t>Jennifer Lopez</t>
  </si>
  <si>
    <t>CUST158</t>
  </si>
  <si>
    <t>Richard Clark</t>
  </si>
  <si>
    <t>CUST159</t>
  </si>
  <si>
    <t>Andrew Robinson</t>
  </si>
  <si>
    <t>CUST160</t>
  </si>
  <si>
    <t>George Walker</t>
  </si>
  <si>
    <t>CUST161</t>
  </si>
  <si>
    <t>Thomas Jones</t>
  </si>
  <si>
    <t>CUST162</t>
  </si>
  <si>
    <t>Donald Torres</t>
  </si>
  <si>
    <t>CUST163</t>
  </si>
  <si>
    <t>Edward Martinez</t>
  </si>
  <si>
    <t>CUST164</t>
  </si>
  <si>
    <t>Barbara Johnson</t>
  </si>
  <si>
    <t>CUST165</t>
  </si>
  <si>
    <t>Linda Thompson</t>
  </si>
  <si>
    <t>CUST166</t>
  </si>
  <si>
    <t>Betty Anderson</t>
  </si>
  <si>
    <t>CUST167</t>
  </si>
  <si>
    <t>Jessica King</t>
  </si>
  <si>
    <t>CUST168</t>
  </si>
  <si>
    <t>Lisa Allen</t>
  </si>
  <si>
    <t>CUST169</t>
  </si>
  <si>
    <t>Edward Gonzalez</t>
  </si>
  <si>
    <t>CUST170</t>
  </si>
  <si>
    <t>William Hill</t>
  </si>
  <si>
    <t>CUST171</t>
  </si>
  <si>
    <t>Ashley Lopez</t>
  </si>
  <si>
    <t>CUST172</t>
  </si>
  <si>
    <t>Ashley Lee</t>
  </si>
  <si>
    <t>CUST173</t>
  </si>
  <si>
    <t>Amanda Hernandez</t>
  </si>
  <si>
    <t>CUST174</t>
  </si>
  <si>
    <t>Deborah Nguyen</t>
  </si>
  <si>
    <t>CUST175</t>
  </si>
  <si>
    <t>Elizabeth Miller</t>
  </si>
  <si>
    <t>CUST176</t>
  </si>
  <si>
    <t>Anthony Johnson</t>
  </si>
  <si>
    <t>CUST177</t>
  </si>
  <si>
    <t>Joseph Moore</t>
  </si>
  <si>
    <t>CUST178</t>
  </si>
  <si>
    <t>Edward Flores</t>
  </si>
  <si>
    <t>CUST179</t>
  </si>
  <si>
    <t>Linda Scott</t>
  </si>
  <si>
    <t>CUST180</t>
  </si>
  <si>
    <t>John Robinson</t>
  </si>
  <si>
    <t>CUST181</t>
  </si>
  <si>
    <t>Kevin Scott</t>
  </si>
  <si>
    <t>CUST182</t>
  </si>
  <si>
    <t>Barbara Scott</t>
  </si>
  <si>
    <t>CUST183</t>
  </si>
  <si>
    <t>Jennifer Lee</t>
  </si>
  <si>
    <t>CUST184</t>
  </si>
  <si>
    <t>Lisa Gonzalez</t>
  </si>
  <si>
    <t>CUST185</t>
  </si>
  <si>
    <t>Mary Walker</t>
  </si>
  <si>
    <t>CUST186</t>
  </si>
  <si>
    <t>Thomas Clark</t>
  </si>
  <si>
    <t>CUST187</t>
  </si>
  <si>
    <t>Christopher Anderson</t>
  </si>
  <si>
    <t>CUST188</t>
  </si>
  <si>
    <t>Brian Brown</t>
  </si>
  <si>
    <t>CUST189</t>
  </si>
  <si>
    <t>CUST190</t>
  </si>
  <si>
    <t>Charles Hernandez</t>
  </si>
  <si>
    <t>CUST191</t>
  </si>
  <si>
    <t>James Nguyen</t>
  </si>
  <si>
    <t>CUST192</t>
  </si>
  <si>
    <t>Melissa Martinez</t>
  </si>
  <si>
    <t>CUST193</t>
  </si>
  <si>
    <t>Mary Jones</t>
  </si>
  <si>
    <t>CUST194</t>
  </si>
  <si>
    <t>Patricia King</t>
  </si>
  <si>
    <t>CUST195</t>
  </si>
  <si>
    <t>Brian Miller</t>
  </si>
  <si>
    <t>CUST196</t>
  </si>
  <si>
    <t>CUST197</t>
  </si>
  <si>
    <t>Charles White</t>
  </si>
  <si>
    <t>CUST198</t>
  </si>
  <si>
    <t>Emily Wright</t>
  </si>
  <si>
    <t>CUST199</t>
  </si>
  <si>
    <t>Robert Davis</t>
  </si>
  <si>
    <t>CUST200</t>
  </si>
  <si>
    <t>Joseph Gonzalez</t>
  </si>
  <si>
    <t>CUST201</t>
  </si>
  <si>
    <t>Deborah Young</t>
  </si>
  <si>
    <t>CUST202</t>
  </si>
  <si>
    <t>CUST203</t>
  </si>
  <si>
    <t>Matthew Lee</t>
  </si>
  <si>
    <t>CUST204</t>
  </si>
  <si>
    <t>Nancy Garcia</t>
  </si>
  <si>
    <t>CUST205</t>
  </si>
  <si>
    <t>George Smith</t>
  </si>
  <si>
    <t>CUST206</t>
  </si>
  <si>
    <t>David Martinez</t>
  </si>
  <si>
    <t>CUST207</t>
  </si>
  <si>
    <t>Susan Garcia</t>
  </si>
  <si>
    <t>CUST208</t>
  </si>
  <si>
    <t>James Ramirez</t>
  </si>
  <si>
    <t>CUST209</t>
  </si>
  <si>
    <t>Edward Jones</t>
  </si>
  <si>
    <t>CUST210</t>
  </si>
  <si>
    <t>Joseph Lee</t>
  </si>
  <si>
    <t>CUST211</t>
  </si>
  <si>
    <t>George Ramirez</t>
  </si>
  <si>
    <t>CUST212</t>
  </si>
  <si>
    <t>Joshua White</t>
  </si>
  <si>
    <t>CUST213</t>
  </si>
  <si>
    <t>Christopher Davis</t>
  </si>
  <si>
    <t>CUST214</t>
  </si>
  <si>
    <t>Carol Allen</t>
  </si>
  <si>
    <t>CUST215</t>
  </si>
  <si>
    <t>Mary Lewis</t>
  </si>
  <si>
    <t>CUST216</t>
  </si>
  <si>
    <t>CUST217</t>
  </si>
  <si>
    <t>Dorothy Garcia</t>
  </si>
  <si>
    <t>CUST218</t>
  </si>
  <si>
    <t>Nancy Jones</t>
  </si>
  <si>
    <t>CUST219</t>
  </si>
  <si>
    <t>Mark Nguyen</t>
  </si>
  <si>
    <t>CUST220</t>
  </si>
  <si>
    <t>John Thomas</t>
  </si>
  <si>
    <t>CUST221</t>
  </si>
  <si>
    <t>CUST222</t>
  </si>
  <si>
    <t>Michael Martin</t>
  </si>
  <si>
    <t>CUST223</t>
  </si>
  <si>
    <t>Margaret Clark</t>
  </si>
  <si>
    <t>CUST224</t>
  </si>
  <si>
    <t>Jessica Hill</t>
  </si>
  <si>
    <t>CUST225</t>
  </si>
  <si>
    <t>Anthony Lopez</t>
  </si>
  <si>
    <t>CUST226</t>
  </si>
  <si>
    <t>Edward Torres</t>
  </si>
  <si>
    <t>CUST227</t>
  </si>
  <si>
    <t>Matthew Smith</t>
  </si>
  <si>
    <t>CUST228</t>
  </si>
  <si>
    <t>Sandra Thompson</t>
  </si>
  <si>
    <t>CUST229</t>
  </si>
  <si>
    <t>Linda Sanchez</t>
  </si>
  <si>
    <t>CUST230</t>
  </si>
  <si>
    <t>Kevin Jones</t>
  </si>
  <si>
    <t>CUST231</t>
  </si>
  <si>
    <t>Andrew Garcia</t>
  </si>
  <si>
    <t>CUST232</t>
  </si>
  <si>
    <t>CUST233</t>
  </si>
  <si>
    <t>James Hill</t>
  </si>
  <si>
    <t>CUST234</t>
  </si>
  <si>
    <t>CUST235</t>
  </si>
  <si>
    <t>CUST236</t>
  </si>
  <si>
    <t>Andrew Allen</t>
  </si>
  <si>
    <t>CUST237</t>
  </si>
  <si>
    <t>Nancy Jackson</t>
  </si>
  <si>
    <t>CUST238</t>
  </si>
  <si>
    <t>Ashley Young</t>
  </si>
  <si>
    <t>CUST239</t>
  </si>
  <si>
    <t>Kevin Smith</t>
  </si>
  <si>
    <t>CUST240</t>
  </si>
  <si>
    <t>CUST241</t>
  </si>
  <si>
    <t>Joseph King</t>
  </si>
  <si>
    <t>CUST242</t>
  </si>
  <si>
    <t>Richard Young</t>
  </si>
  <si>
    <t>CUST243</t>
  </si>
  <si>
    <t>Lisa Martinez</t>
  </si>
  <si>
    <t>CUST244</t>
  </si>
  <si>
    <t>Thomas Perez</t>
  </si>
  <si>
    <t>CUST245</t>
  </si>
  <si>
    <t>Joshua Harris</t>
  </si>
  <si>
    <t>CUST246</t>
  </si>
  <si>
    <t>George Wright</t>
  </si>
  <si>
    <t>CUST247</t>
  </si>
  <si>
    <t>Donna Harris</t>
  </si>
  <si>
    <t>CUST248</t>
  </si>
  <si>
    <t>Joseph Taylor</t>
  </si>
  <si>
    <t>CUST249</t>
  </si>
  <si>
    <t>Jennifer Anderson</t>
  </si>
  <si>
    <t>CUST250</t>
  </si>
  <si>
    <t>George Moore</t>
  </si>
  <si>
    <t>CUST251</t>
  </si>
  <si>
    <t>Jennifer Clark</t>
  </si>
  <si>
    <t>CUST252</t>
  </si>
  <si>
    <t>Edward Wright</t>
  </si>
  <si>
    <t>CUST253</t>
  </si>
  <si>
    <t>Susan Jackson</t>
  </si>
  <si>
    <t>CUST254</t>
  </si>
  <si>
    <t>Anthony Martinez</t>
  </si>
  <si>
    <t>CUST255</t>
  </si>
  <si>
    <t>Susan Martinez</t>
  </si>
  <si>
    <t>CUST256</t>
  </si>
  <si>
    <t>Deborah Robinson</t>
  </si>
  <si>
    <t>CUST257</t>
  </si>
  <si>
    <t>Kevin Allen</t>
  </si>
  <si>
    <t>CUST258</t>
  </si>
  <si>
    <t>Melissa Jones</t>
  </si>
  <si>
    <t>CUST259</t>
  </si>
  <si>
    <t>CUST260</t>
  </si>
  <si>
    <t>Lisa White</t>
  </si>
  <si>
    <t>CUST261</t>
  </si>
  <si>
    <t>Sarah Garcia</t>
  </si>
  <si>
    <t>CUST262</t>
  </si>
  <si>
    <t>Elizabeth Allen</t>
  </si>
  <si>
    <t>CUST263</t>
  </si>
  <si>
    <t>Jessica Gonzalez</t>
  </si>
  <si>
    <t>CUST264</t>
  </si>
  <si>
    <t>George Garcia</t>
  </si>
  <si>
    <t>CUST265</t>
  </si>
  <si>
    <t>Amanda Torres</t>
  </si>
  <si>
    <t>CUST266</t>
  </si>
  <si>
    <t>Sandra Miller</t>
  </si>
  <si>
    <t>CUST267</t>
  </si>
  <si>
    <t>Linda Lopez</t>
  </si>
  <si>
    <t>CUST268</t>
  </si>
  <si>
    <t>Mark Miller</t>
  </si>
  <si>
    <t>CUST269</t>
  </si>
  <si>
    <t>Daniel Jones</t>
  </si>
  <si>
    <t>CUST270</t>
  </si>
  <si>
    <t>Betty Smith</t>
  </si>
  <si>
    <t>CUST271</t>
  </si>
  <si>
    <t>Emily Williams</t>
  </si>
  <si>
    <t>CUST272</t>
  </si>
  <si>
    <t>CUST273</t>
  </si>
  <si>
    <t>CUST274</t>
  </si>
  <si>
    <t>Nancy White</t>
  </si>
  <si>
    <t>CUST275</t>
  </si>
  <si>
    <t>Margaret Ramirez</t>
  </si>
  <si>
    <t>CUST276</t>
  </si>
  <si>
    <t>Kenneth Thomas</t>
  </si>
  <si>
    <t>CUST277</t>
  </si>
  <si>
    <t>Dorothy Gonzalez</t>
  </si>
  <si>
    <t>CUST278</t>
  </si>
  <si>
    <t>Deborah Lee</t>
  </si>
  <si>
    <t>CUST279</t>
  </si>
  <si>
    <t>Andrew Scott</t>
  </si>
  <si>
    <t>CUST280</t>
  </si>
  <si>
    <t>Michelle Wright</t>
  </si>
  <si>
    <t>CUST281</t>
  </si>
  <si>
    <t>CUST282</t>
  </si>
  <si>
    <t>Matthew Davis</t>
  </si>
  <si>
    <t>CUST283</t>
  </si>
  <si>
    <t>Brian Martinez</t>
  </si>
  <si>
    <t>CUST284</t>
  </si>
  <si>
    <t>Barbara Martinez</t>
  </si>
  <si>
    <t>CUST285</t>
  </si>
  <si>
    <t>Steven Thompson</t>
  </si>
  <si>
    <t>CUST286</t>
  </si>
  <si>
    <t>Melissa Taylor</t>
  </si>
  <si>
    <t>CUST287</t>
  </si>
  <si>
    <t>Joseph Johnson</t>
  </si>
  <si>
    <t>CUST288</t>
  </si>
  <si>
    <t>James Anderson</t>
  </si>
  <si>
    <t>CUST289</t>
  </si>
  <si>
    <t>George Lee</t>
  </si>
  <si>
    <t>CUST290</t>
  </si>
  <si>
    <t>Brian Jones</t>
  </si>
  <si>
    <t>CUST291</t>
  </si>
  <si>
    <t>John King</t>
  </si>
  <si>
    <t>CUST292</t>
  </si>
  <si>
    <t>Jennifer Williams</t>
  </si>
  <si>
    <t>CUST293</t>
  </si>
  <si>
    <t>Christopher Torres</t>
  </si>
  <si>
    <t>CUST294</t>
  </si>
  <si>
    <t>Paul Brown</t>
  </si>
  <si>
    <t>CUST295</t>
  </si>
  <si>
    <t>Dorothy King</t>
  </si>
  <si>
    <t>CUST296</t>
  </si>
  <si>
    <t>Kenneth Torres</t>
  </si>
  <si>
    <t>CUST297</t>
  </si>
  <si>
    <t>Barbara Flores</t>
  </si>
  <si>
    <t>CUST298</t>
  </si>
  <si>
    <t>Thomas Allen</t>
  </si>
  <si>
    <t>CUST299</t>
  </si>
  <si>
    <t>Mark Young</t>
  </si>
  <si>
    <t>CUST300</t>
  </si>
  <si>
    <t>Ashley Sanchez</t>
  </si>
  <si>
    <t>CUST301</t>
  </si>
  <si>
    <t>Donald Young</t>
  </si>
  <si>
    <t>CUST302</t>
  </si>
  <si>
    <t>CUST303</t>
  </si>
  <si>
    <t>Dorothy Perez</t>
  </si>
  <si>
    <t>CUST304</t>
  </si>
  <si>
    <t>Thomas Lee</t>
  </si>
  <si>
    <t>CUST305</t>
  </si>
  <si>
    <t>CUST306</t>
  </si>
  <si>
    <t>CUST307</t>
  </si>
  <si>
    <t>Michelle Thomas</t>
  </si>
  <si>
    <t>CUST308</t>
  </si>
  <si>
    <t>CUST309</t>
  </si>
  <si>
    <t>Richard Hernandez</t>
  </si>
  <si>
    <t>CUST310</t>
  </si>
  <si>
    <t>Patricia Garcia</t>
  </si>
  <si>
    <t>CUST311</t>
  </si>
  <si>
    <t>Nancy Martin</t>
  </si>
  <si>
    <t>CUST312</t>
  </si>
  <si>
    <t>David Taylor</t>
  </si>
  <si>
    <t>CUST313</t>
  </si>
  <si>
    <t>Donald Martinez</t>
  </si>
  <si>
    <t>CUST314</t>
  </si>
  <si>
    <t>Thomas Anderson</t>
  </si>
  <si>
    <t>CUST315</t>
  </si>
  <si>
    <t>CUST316</t>
  </si>
  <si>
    <t>Andrew Wilson</t>
  </si>
  <si>
    <t>CUST317</t>
  </si>
  <si>
    <t>Nancy Thomas</t>
  </si>
  <si>
    <t>CUST318</t>
  </si>
  <si>
    <t>Elizabeth Ramirez</t>
  </si>
  <si>
    <t>CUST319</t>
  </si>
  <si>
    <t>Barbara Lopez</t>
  </si>
  <si>
    <t>CUST320</t>
  </si>
  <si>
    <t>Michelle Nguyen</t>
  </si>
  <si>
    <t>CUST321</t>
  </si>
  <si>
    <t>Kimberly Torres</t>
  </si>
  <si>
    <t>CUST322</t>
  </si>
  <si>
    <t>Kevin Martin</t>
  </si>
  <si>
    <t>CUST323</t>
  </si>
  <si>
    <t>Joshua Wilson</t>
  </si>
  <si>
    <t>CUST324</t>
  </si>
  <si>
    <t>Lisa Perez</t>
  </si>
  <si>
    <t>CUST325</t>
  </si>
  <si>
    <t>Edward King</t>
  </si>
  <si>
    <t>CUST326</t>
  </si>
  <si>
    <t>Matthew Clark</t>
  </si>
  <si>
    <t>CUST327</t>
  </si>
  <si>
    <t>William Allen</t>
  </si>
  <si>
    <t>CUST328</t>
  </si>
  <si>
    <t>Betty Perez</t>
  </si>
  <si>
    <t>CUST329</t>
  </si>
  <si>
    <t>Joshua Sanchez</t>
  </si>
  <si>
    <t>CUST330</t>
  </si>
  <si>
    <t>Patricia Lopez</t>
  </si>
  <si>
    <t>CUST331</t>
  </si>
  <si>
    <t>David Robinson</t>
  </si>
  <si>
    <t>CUST332</t>
  </si>
  <si>
    <t>Mary Rodriguez</t>
  </si>
  <si>
    <t>CUST333</t>
  </si>
  <si>
    <t>Sandra Ramirez</t>
  </si>
  <si>
    <t>CUST334</t>
  </si>
  <si>
    <t>Margaret Wright</t>
  </si>
  <si>
    <t>CUST335</t>
  </si>
  <si>
    <t>Amanda Garcia</t>
  </si>
  <si>
    <t>CUST336</t>
  </si>
  <si>
    <t>Melissa Harris</t>
  </si>
  <si>
    <t>CUST337</t>
  </si>
  <si>
    <t>CUST338</t>
  </si>
  <si>
    <t>Ashley Robinson</t>
  </si>
  <si>
    <t>CUST339</t>
  </si>
  <si>
    <t>Sandra Brown</t>
  </si>
  <si>
    <t>CUST340</t>
  </si>
  <si>
    <t>Anthony Nguyen</t>
  </si>
  <si>
    <t>CUST341</t>
  </si>
  <si>
    <t>CUST342</t>
  </si>
  <si>
    <t>Melissa Hill</t>
  </si>
  <si>
    <t>CUST343</t>
  </si>
  <si>
    <t>David Allen</t>
  </si>
  <si>
    <t>CUST344</t>
  </si>
  <si>
    <t>Christopher White</t>
  </si>
  <si>
    <t>CUST345</t>
  </si>
  <si>
    <t>Daniel Young</t>
  </si>
  <si>
    <t>CUST346</t>
  </si>
  <si>
    <t>CUST347</t>
  </si>
  <si>
    <t>George Nguyen</t>
  </si>
  <si>
    <t>CUST348</t>
  </si>
  <si>
    <t>John Hernandez</t>
  </si>
  <si>
    <t>CUST349</t>
  </si>
  <si>
    <t>Andrew White</t>
  </si>
  <si>
    <t>CUST350</t>
  </si>
  <si>
    <t>Robert Brown</t>
  </si>
  <si>
    <t>CUST351</t>
  </si>
  <si>
    <t>Anthony Harris</t>
  </si>
  <si>
    <t>CUST352</t>
  </si>
  <si>
    <t>David Miller</t>
  </si>
  <si>
    <t>CUST353</t>
  </si>
  <si>
    <t>CUST354</t>
  </si>
  <si>
    <t>James Thompson</t>
  </si>
  <si>
    <t>CUST355</t>
  </si>
  <si>
    <t>Lisa Jackson</t>
  </si>
  <si>
    <t>CUST356</t>
  </si>
  <si>
    <t>Kimberly Lee</t>
  </si>
  <si>
    <t>CUST357</t>
  </si>
  <si>
    <t>CUST358</t>
  </si>
  <si>
    <t>George Young</t>
  </si>
  <si>
    <t>CUST359</t>
  </si>
  <si>
    <t>Margaret Martin</t>
  </si>
  <si>
    <t>CUST360</t>
  </si>
  <si>
    <t>Barbara White</t>
  </si>
  <si>
    <t>CUST361</t>
  </si>
  <si>
    <t>Michael Nguyen</t>
  </si>
  <si>
    <t>CUST362</t>
  </si>
  <si>
    <t>CUST363</t>
  </si>
  <si>
    <t>Michelle Jones</t>
  </si>
  <si>
    <t>CUST364</t>
  </si>
  <si>
    <t>Andrew Brown</t>
  </si>
  <si>
    <t>CUST365</t>
  </si>
  <si>
    <t>CUST366</t>
  </si>
  <si>
    <t>Andrew Taylor</t>
  </si>
  <si>
    <t>CUST367</t>
  </si>
  <si>
    <t>CUST368</t>
  </si>
  <si>
    <t>William Clark</t>
  </si>
  <si>
    <t>CUST369</t>
  </si>
  <si>
    <t>CUST370</t>
  </si>
  <si>
    <t>CUST371</t>
  </si>
  <si>
    <t>Kenneth Walker</t>
  </si>
  <si>
    <t>CUST372</t>
  </si>
  <si>
    <t>Ashley Hernandez</t>
  </si>
  <si>
    <t>CUST373</t>
  </si>
  <si>
    <t>Michelle Anderson</t>
  </si>
  <si>
    <t>CUST374</t>
  </si>
  <si>
    <t>Anthony Gonzalez</t>
  </si>
  <si>
    <t>CUST375</t>
  </si>
  <si>
    <t>Jessica Miller</t>
  </si>
  <si>
    <t>CUST376</t>
  </si>
  <si>
    <t>Edward Garcia</t>
  </si>
  <si>
    <t>CUST377</t>
  </si>
  <si>
    <t>John Nguyen</t>
  </si>
  <si>
    <t>CUST378</t>
  </si>
  <si>
    <t>CUST379</t>
  </si>
  <si>
    <t>Andrew Thomas</t>
  </si>
  <si>
    <t>CUST380</t>
  </si>
  <si>
    <t>Michael Robinson</t>
  </si>
  <si>
    <t>CUST381</t>
  </si>
  <si>
    <t>CUST382</t>
  </si>
  <si>
    <t>Melissa Nguyen</t>
  </si>
  <si>
    <t>CUST383</t>
  </si>
  <si>
    <t>Charles Young</t>
  </si>
  <si>
    <t>CUST384</t>
  </si>
  <si>
    <t>Donald Martin</t>
  </si>
  <si>
    <t>CUST385</t>
  </si>
  <si>
    <t>Michael Thomas</t>
  </si>
  <si>
    <t>CUST386</t>
  </si>
  <si>
    <t>Steven Flores</t>
  </si>
  <si>
    <t>CUST387</t>
  </si>
  <si>
    <t>James Lewis</t>
  </si>
  <si>
    <t>CUST388</t>
  </si>
  <si>
    <t>Kevin Hill</t>
  </si>
  <si>
    <t>CUST389</t>
  </si>
  <si>
    <t>CUST390</t>
  </si>
  <si>
    <t>Susan Wright</t>
  </si>
  <si>
    <t>CUST391</t>
  </si>
  <si>
    <t>Carol Sanchez</t>
  </si>
  <si>
    <t>CUST392</t>
  </si>
  <si>
    <t>Michael Jones</t>
  </si>
  <si>
    <t>CUST393</t>
  </si>
  <si>
    <t>CUST394</t>
  </si>
  <si>
    <t>Mary Ramirez</t>
  </si>
  <si>
    <t>CUST395</t>
  </si>
  <si>
    <t>CUST396</t>
  </si>
  <si>
    <t>John Jackson</t>
  </si>
  <si>
    <t>CUST397</t>
  </si>
  <si>
    <t>Andrew King</t>
  </si>
  <si>
    <t>CUST398</t>
  </si>
  <si>
    <t>Nancy Lopez</t>
  </si>
  <si>
    <t>CUST399</t>
  </si>
  <si>
    <t>Edward Jackson</t>
  </si>
  <si>
    <t>CUST400</t>
  </si>
  <si>
    <t>Jessica Moore</t>
  </si>
  <si>
    <t>CUST401</t>
  </si>
  <si>
    <t>James Gonzalez</t>
  </si>
  <si>
    <t>CUST402</t>
  </si>
  <si>
    <t>Margaret Torres</t>
  </si>
  <si>
    <t>CUST403</t>
  </si>
  <si>
    <t>Andrew Young</t>
  </si>
  <si>
    <t>CUST404</t>
  </si>
  <si>
    <t>Betty Jones</t>
  </si>
  <si>
    <t>CUST405</t>
  </si>
  <si>
    <t>Karen Flores</t>
  </si>
  <si>
    <t>CUST406</t>
  </si>
  <si>
    <t>Robert Scott</t>
  </si>
  <si>
    <t>CUST407</t>
  </si>
  <si>
    <t>Paul Lopez</t>
  </si>
  <si>
    <t>CUST408</t>
  </si>
  <si>
    <t>CUST409</t>
  </si>
  <si>
    <t>Robert Jones</t>
  </si>
  <si>
    <t>CUST410</t>
  </si>
  <si>
    <t>Kimberly Flores</t>
  </si>
  <si>
    <t>CUST411</t>
  </si>
  <si>
    <t>Mary Clark</t>
  </si>
  <si>
    <t>CUST412</t>
  </si>
  <si>
    <t>Michael Clark</t>
  </si>
  <si>
    <t>CUST413</t>
  </si>
  <si>
    <t>CUST414</t>
  </si>
  <si>
    <t>Paul Scott</t>
  </si>
  <si>
    <t>CUST415</t>
  </si>
  <si>
    <t>Carol Johnson</t>
  </si>
  <si>
    <t>CUST416</t>
  </si>
  <si>
    <t>Richard Martinez</t>
  </si>
  <si>
    <t>CUST417</t>
  </si>
  <si>
    <t>Daniel Garcia</t>
  </si>
  <si>
    <t>CUST418</t>
  </si>
  <si>
    <t>Kevin Young</t>
  </si>
  <si>
    <t>CUST419</t>
  </si>
  <si>
    <t>Kenneth Davis</t>
  </si>
  <si>
    <t>CUST420</t>
  </si>
  <si>
    <t>James Torres</t>
  </si>
  <si>
    <t>CUST421</t>
  </si>
  <si>
    <t>Joseph Clark</t>
  </si>
  <si>
    <t>CUST422</t>
  </si>
  <si>
    <t>Amanda Johnson</t>
  </si>
  <si>
    <t>CUST423</t>
  </si>
  <si>
    <t>James Smith</t>
  </si>
  <si>
    <t>CUST424</t>
  </si>
  <si>
    <t>Linda Williams</t>
  </si>
  <si>
    <t>CUST425</t>
  </si>
  <si>
    <t>Kenneth Harris</t>
  </si>
  <si>
    <t>CUST426</t>
  </si>
  <si>
    <t>Deborah Allen</t>
  </si>
  <si>
    <t>CUST427</t>
  </si>
  <si>
    <t>CUST428</t>
  </si>
  <si>
    <t>CUST429</t>
  </si>
  <si>
    <t>Richard Williams</t>
  </si>
  <si>
    <t>CUST430</t>
  </si>
  <si>
    <t>Kimberly Allen</t>
  </si>
  <si>
    <t>CUST431</t>
  </si>
  <si>
    <t>Edward Nguyen</t>
  </si>
  <si>
    <t>CUST432</t>
  </si>
  <si>
    <t>Michael Walker</t>
  </si>
  <si>
    <t>CUST433</t>
  </si>
  <si>
    <t>Kevin Ramirez</t>
  </si>
  <si>
    <t>CUST434</t>
  </si>
  <si>
    <t>Kenneth King</t>
  </si>
  <si>
    <t>CUST435</t>
  </si>
  <si>
    <t>Daniel Johnson</t>
  </si>
  <si>
    <t>CUST436</t>
  </si>
  <si>
    <t>Daniel Rodriguez</t>
  </si>
  <si>
    <t>CUST437</t>
  </si>
  <si>
    <t>Jennifer Jones</t>
  </si>
  <si>
    <t>CUST438</t>
  </si>
  <si>
    <t>Paul Lee</t>
  </si>
  <si>
    <t>CUST439</t>
  </si>
  <si>
    <t>Anthony Robinson</t>
  </si>
  <si>
    <t>CUST440</t>
  </si>
  <si>
    <t>Betty Sanchez</t>
  </si>
  <si>
    <t>CUST441</t>
  </si>
  <si>
    <t>John Wright</t>
  </si>
  <si>
    <t>CUST442</t>
  </si>
  <si>
    <t>Daniel Miller</t>
  </si>
  <si>
    <t>CUST443</t>
  </si>
  <si>
    <t>Kenneth Robinson</t>
  </si>
  <si>
    <t>CUST444</t>
  </si>
  <si>
    <t>CUST445</t>
  </si>
  <si>
    <t>James Hernandez</t>
  </si>
  <si>
    <t>CUST446</t>
  </si>
  <si>
    <t>John Lewis</t>
  </si>
  <si>
    <t>CUST447</t>
  </si>
  <si>
    <t>CUST448</t>
  </si>
  <si>
    <t>CUST449</t>
  </si>
  <si>
    <t>Margaret Williams</t>
  </si>
  <si>
    <t>CUST450</t>
  </si>
  <si>
    <t>Patricia Harris</t>
  </si>
  <si>
    <t>CUST451</t>
  </si>
  <si>
    <t>James Johnson</t>
  </si>
  <si>
    <t>CUST452</t>
  </si>
  <si>
    <t>William Scott</t>
  </si>
  <si>
    <t>CUST453</t>
  </si>
  <si>
    <t>Daniel Lewis</t>
  </si>
  <si>
    <t>CUST454</t>
  </si>
  <si>
    <t>Christopher Miller</t>
  </si>
  <si>
    <t>CUST455</t>
  </si>
  <si>
    <t>Charles Brown</t>
  </si>
  <si>
    <t>CUST456</t>
  </si>
  <si>
    <t>Joshua Davis</t>
  </si>
  <si>
    <t>CUST457</t>
  </si>
  <si>
    <t>Charles Flores</t>
  </si>
  <si>
    <t>CUST458</t>
  </si>
  <si>
    <t>Sandra Jackson</t>
  </si>
  <si>
    <t>CUST459</t>
  </si>
  <si>
    <t>Betty Young</t>
  </si>
  <si>
    <t>CUST460</t>
  </si>
  <si>
    <t>Richard Sanchez</t>
  </si>
  <si>
    <t>CUST461</t>
  </si>
  <si>
    <t>Carol Thompson</t>
  </si>
  <si>
    <t>CUST462</t>
  </si>
  <si>
    <t>CUST463</t>
  </si>
  <si>
    <t>Richard Nguyen</t>
  </si>
  <si>
    <t>CUST464</t>
  </si>
  <si>
    <t>Betty Gonzalez</t>
  </si>
  <si>
    <t>CUST465</t>
  </si>
  <si>
    <t>CUST466</t>
  </si>
  <si>
    <t>Anthony Ramirez</t>
  </si>
  <si>
    <t>CUST467</t>
  </si>
  <si>
    <t>CUST468</t>
  </si>
  <si>
    <t>CUST469</t>
  </si>
  <si>
    <t>Linda Garcia</t>
  </si>
  <si>
    <t>CUST470</t>
  </si>
  <si>
    <t>Lisa Lee</t>
  </si>
  <si>
    <t>CUST471</t>
  </si>
  <si>
    <t>Paul Taylor</t>
  </si>
  <si>
    <t>CUST472</t>
  </si>
  <si>
    <t>Amanda Jackson</t>
  </si>
  <si>
    <t>CUST473</t>
  </si>
  <si>
    <t>CUST474</t>
  </si>
  <si>
    <t>CUST475</t>
  </si>
  <si>
    <t>Melissa Lopez</t>
  </si>
  <si>
    <t>CUST476</t>
  </si>
  <si>
    <t>CUST477</t>
  </si>
  <si>
    <t>Donald Moore</t>
  </si>
  <si>
    <t>CUST478</t>
  </si>
  <si>
    <t>Michelle Harris</t>
  </si>
  <si>
    <t>CUST479</t>
  </si>
  <si>
    <t>Christopher Sanchez</t>
  </si>
  <si>
    <t>CUST480</t>
  </si>
  <si>
    <t>Edward Taylor</t>
  </si>
  <si>
    <t>CUST481</t>
  </si>
  <si>
    <t>Linda Taylor</t>
  </si>
  <si>
    <t>CUST482</t>
  </si>
  <si>
    <t>Kevin Rodriguez</t>
  </si>
  <si>
    <t>CUST483</t>
  </si>
  <si>
    <t>Melissa White</t>
  </si>
  <si>
    <t>CUST484</t>
  </si>
  <si>
    <t>Donald Gonzalez</t>
  </si>
  <si>
    <t>CUST485</t>
  </si>
  <si>
    <t>George Johnson</t>
  </si>
  <si>
    <t>CUST486</t>
  </si>
  <si>
    <t>CUST487</t>
  </si>
  <si>
    <t>CUST488</t>
  </si>
  <si>
    <t>Linda Martinez</t>
  </si>
  <si>
    <t>CUST489</t>
  </si>
  <si>
    <t>CUST490</t>
  </si>
  <si>
    <t>Sarah Thompson</t>
  </si>
  <si>
    <t>CUST491</t>
  </si>
  <si>
    <t>Sandra Lewis</t>
  </si>
  <si>
    <t>CUST492</t>
  </si>
  <si>
    <t>CUST493</t>
  </si>
  <si>
    <t>Sandra Clark</t>
  </si>
  <si>
    <t>CUST494</t>
  </si>
  <si>
    <t>CUST495</t>
  </si>
  <si>
    <t>CUST496</t>
  </si>
  <si>
    <t>Sarah Perez</t>
  </si>
  <si>
    <t>CUST497</t>
  </si>
  <si>
    <t>Elizabeth Moore</t>
  </si>
  <si>
    <t>CUST498</t>
  </si>
  <si>
    <t>Anthony Sanchez</t>
  </si>
  <si>
    <t>CUST499</t>
  </si>
  <si>
    <t>Anthony Anderson</t>
  </si>
  <si>
    <t>CUST500</t>
  </si>
  <si>
    <t>Edward Lee</t>
  </si>
  <si>
    <t>CUST501</t>
  </si>
  <si>
    <t>CUST502</t>
  </si>
  <si>
    <t>Betty Scott</t>
  </si>
  <si>
    <t>CUST503</t>
  </si>
  <si>
    <t>Michael Torres</t>
  </si>
  <si>
    <t>CUST504</t>
  </si>
  <si>
    <t>Kevin Lee</t>
  </si>
  <si>
    <t>CUST505</t>
  </si>
  <si>
    <t>Andrew Lee</t>
  </si>
  <si>
    <t>CUST506</t>
  </si>
  <si>
    <t>CUST507</t>
  </si>
  <si>
    <t>Richard Gonzalez</t>
  </si>
  <si>
    <t>CUST508</t>
  </si>
  <si>
    <t>Margaret King</t>
  </si>
  <si>
    <t>CUST509</t>
  </si>
  <si>
    <t>Karen Martin</t>
  </si>
  <si>
    <t>CUST510</t>
  </si>
  <si>
    <t>CUST511</t>
  </si>
  <si>
    <t>Robert Williams</t>
  </si>
  <si>
    <t>CUST512</t>
  </si>
  <si>
    <t>Carol King</t>
  </si>
  <si>
    <t>CUST513</t>
  </si>
  <si>
    <t>CUST514</t>
  </si>
  <si>
    <t>CUST515</t>
  </si>
  <si>
    <t>Mark Wilson</t>
  </si>
  <si>
    <t>CUST516</t>
  </si>
  <si>
    <t>Matthew Miller</t>
  </si>
  <si>
    <t>CUST517</t>
  </si>
  <si>
    <t>CUST518</t>
  </si>
  <si>
    <t>Patricia Robinson</t>
  </si>
  <si>
    <t>CUST519</t>
  </si>
  <si>
    <t>Amanda Smith</t>
  </si>
  <si>
    <t>CUST520</t>
  </si>
  <si>
    <t>Nancy King</t>
  </si>
  <si>
    <t>CUST521</t>
  </si>
  <si>
    <t>CUST522</t>
  </si>
  <si>
    <t>CUST523</t>
  </si>
  <si>
    <t>CUST524</t>
  </si>
  <si>
    <t>Barbara Harris</t>
  </si>
  <si>
    <t>CUST525</t>
  </si>
  <si>
    <t>CUST526</t>
  </si>
  <si>
    <t>CUST527</t>
  </si>
  <si>
    <t>Margaret Hill</t>
  </si>
  <si>
    <t>CUST528</t>
  </si>
  <si>
    <t>Patricia Flores</t>
  </si>
  <si>
    <t>CUST529</t>
  </si>
  <si>
    <t>Daniel Walker</t>
  </si>
  <si>
    <t>CUST530</t>
  </si>
  <si>
    <t>Nancy Gonzalez</t>
  </si>
  <si>
    <t>CUST531</t>
  </si>
  <si>
    <t>Joshua Ramirez</t>
  </si>
  <si>
    <t>CUST532</t>
  </si>
  <si>
    <t>Linda Lewis</t>
  </si>
  <si>
    <t>CUST533</t>
  </si>
  <si>
    <t>Donna Thomas</t>
  </si>
  <si>
    <t>CUST534</t>
  </si>
  <si>
    <t>George Sanchez</t>
  </si>
  <si>
    <t>CUST535</t>
  </si>
  <si>
    <t>CUST536</t>
  </si>
  <si>
    <t>Kimberly Rodriguez</t>
  </si>
  <si>
    <t>CUST537</t>
  </si>
  <si>
    <t>Donna Perez</t>
  </si>
  <si>
    <t>CUST538</t>
  </si>
  <si>
    <t>Lisa Miller</t>
  </si>
  <si>
    <t>CUST539</t>
  </si>
  <si>
    <t>CUST540</t>
  </si>
  <si>
    <t>Christopher King</t>
  </si>
  <si>
    <t>CUST541</t>
  </si>
  <si>
    <t>George Flores</t>
  </si>
  <si>
    <t>CUST542</t>
  </si>
  <si>
    <t>Melissa Thompson</t>
  </si>
  <si>
    <t>CUST543</t>
  </si>
  <si>
    <t>William King</t>
  </si>
  <si>
    <t>CUST544</t>
  </si>
  <si>
    <t>Kenneth Flores</t>
  </si>
  <si>
    <t>CUST545</t>
  </si>
  <si>
    <t>Steven Garcia</t>
  </si>
  <si>
    <t>CUST546</t>
  </si>
  <si>
    <t>Margaret Moore</t>
  </si>
  <si>
    <t>CUST547</t>
  </si>
  <si>
    <t>CUST548</t>
  </si>
  <si>
    <t>Thomas Brown</t>
  </si>
  <si>
    <t>CUST549</t>
  </si>
  <si>
    <t>Dorothy Walker</t>
  </si>
  <si>
    <t>CUST550</t>
  </si>
  <si>
    <t>Robert Moore</t>
  </si>
  <si>
    <t>CUST551</t>
  </si>
  <si>
    <t>CUST552</t>
  </si>
  <si>
    <t>Amanda Miller</t>
  </si>
  <si>
    <t>CUST553</t>
  </si>
  <si>
    <t>Jessica Davis</t>
  </si>
  <si>
    <t>CUST554</t>
  </si>
  <si>
    <t>Richard Torres</t>
  </si>
  <si>
    <t>CUST555</t>
  </si>
  <si>
    <t>Melissa Johnson</t>
  </si>
  <si>
    <t>CUST556</t>
  </si>
  <si>
    <t>Ashley Martinez</t>
  </si>
  <si>
    <t>CUST557</t>
  </si>
  <si>
    <t>Elizabeth Lopez</t>
  </si>
  <si>
    <t>CUST558</t>
  </si>
  <si>
    <t>Elizabeth Martin</t>
  </si>
  <si>
    <t>CUST559</t>
  </si>
  <si>
    <t>CUST560</t>
  </si>
  <si>
    <t>Andrew Martin</t>
  </si>
  <si>
    <t>CUST561</t>
  </si>
  <si>
    <t>James Brown</t>
  </si>
  <si>
    <t>CUST562</t>
  </si>
  <si>
    <t>CUST563</t>
  </si>
  <si>
    <t>CUST564</t>
  </si>
  <si>
    <t>Kevin Sanchez</t>
  </si>
  <si>
    <t>CUST565</t>
  </si>
  <si>
    <t>CUST566</t>
  </si>
  <si>
    <t>Christopher Clark</t>
  </si>
  <si>
    <t>CUST567</t>
  </si>
  <si>
    <t>Michelle Walker</t>
  </si>
  <si>
    <t>CUST568</t>
  </si>
  <si>
    <t>Donald Williams</t>
  </si>
  <si>
    <t>CUST569</t>
  </si>
  <si>
    <t>Andrew Anderson</t>
  </si>
  <si>
    <t>CUST570</t>
  </si>
  <si>
    <t>CUST571</t>
  </si>
  <si>
    <t>Brian Wilson</t>
  </si>
  <si>
    <t>CUST572</t>
  </si>
  <si>
    <t>George King</t>
  </si>
  <si>
    <t>CUST573</t>
  </si>
  <si>
    <t>Thomas Martin</t>
  </si>
  <si>
    <t>CUST574</t>
  </si>
  <si>
    <t>Anthony Walker</t>
  </si>
  <si>
    <t>CUST575</t>
  </si>
  <si>
    <t>Paul Wright</t>
  </si>
  <si>
    <t>CUST576</t>
  </si>
  <si>
    <t>Charles Lee</t>
  </si>
  <si>
    <t>CUST577</t>
  </si>
  <si>
    <t>Nancy Torres</t>
  </si>
  <si>
    <t>CUST578</t>
  </si>
  <si>
    <t>Jessica White</t>
  </si>
  <si>
    <t>CUST579</t>
  </si>
  <si>
    <t>Michael Wright</t>
  </si>
  <si>
    <t>CUST580</t>
  </si>
  <si>
    <t>Karen Wilson</t>
  </si>
  <si>
    <t>CUST581</t>
  </si>
  <si>
    <t>Sandra Martin</t>
  </si>
  <si>
    <t>CUST582</t>
  </si>
  <si>
    <t>Kevin Perez</t>
  </si>
  <si>
    <t>CUST583</t>
  </si>
  <si>
    <t>Margaret Jones</t>
  </si>
  <si>
    <t>CUST584</t>
  </si>
  <si>
    <t>Mary Thomas</t>
  </si>
  <si>
    <t>CUST585</t>
  </si>
  <si>
    <t>Deborah Torres</t>
  </si>
  <si>
    <t>CUST586</t>
  </si>
  <si>
    <t>CUST587</t>
  </si>
  <si>
    <t>Karen Davis</t>
  </si>
  <si>
    <t>CUST588</t>
  </si>
  <si>
    <t>James Wilson</t>
  </si>
  <si>
    <t>CUST589</t>
  </si>
  <si>
    <t>CUST590</t>
  </si>
  <si>
    <t>Richard Smith</t>
  </si>
  <si>
    <t>CUST591</t>
  </si>
  <si>
    <t>Donald Nguyen</t>
  </si>
  <si>
    <t>CUST592</t>
  </si>
  <si>
    <t>Paul Moore</t>
  </si>
  <si>
    <t>CUST593</t>
  </si>
  <si>
    <t>CUST594</t>
  </si>
  <si>
    <t>CUST595</t>
  </si>
  <si>
    <t>Mark Smith</t>
  </si>
  <si>
    <t>CUST596</t>
  </si>
  <si>
    <t>Christopher Lopez</t>
  </si>
  <si>
    <t>CUST597</t>
  </si>
  <si>
    <t>David Lewis</t>
  </si>
  <si>
    <t>CUST598</t>
  </si>
  <si>
    <t>CUST599</t>
  </si>
  <si>
    <t>Emily Flores</t>
  </si>
  <si>
    <t>CUST600</t>
  </si>
  <si>
    <t>CUST601</t>
  </si>
  <si>
    <t>Carol Martin</t>
  </si>
  <si>
    <t>CUST602</t>
  </si>
  <si>
    <t>Deborah Walker</t>
  </si>
  <si>
    <t>CUST603</t>
  </si>
  <si>
    <t>Steven Torres</t>
  </si>
  <si>
    <t>CUST604</t>
  </si>
  <si>
    <t>Margaret Lewis</t>
  </si>
  <si>
    <t>CUST605</t>
  </si>
  <si>
    <t>Joseph Hill</t>
  </si>
  <si>
    <t>CUST606</t>
  </si>
  <si>
    <t>CUST607</t>
  </si>
  <si>
    <t>CUST608</t>
  </si>
  <si>
    <t>Patricia Jones</t>
  </si>
  <si>
    <t>CUST609</t>
  </si>
  <si>
    <t>Margaret Robinson</t>
  </si>
  <si>
    <t>CUST610</t>
  </si>
  <si>
    <t>Kenneth Moore</t>
  </si>
  <si>
    <t>CUST611</t>
  </si>
  <si>
    <t>CUST612</t>
  </si>
  <si>
    <t>Edward Clark</t>
  </si>
  <si>
    <t>CUST613</t>
  </si>
  <si>
    <t>Christopher Hill</t>
  </si>
  <si>
    <t>CUST614</t>
  </si>
  <si>
    <t>Jennifer Flores</t>
  </si>
  <si>
    <t>CUST615</t>
  </si>
  <si>
    <t>CUST616</t>
  </si>
  <si>
    <t>Dorothy Robinson</t>
  </si>
  <si>
    <t>CUST617</t>
  </si>
  <si>
    <t>Edward Robinson</t>
  </si>
  <si>
    <t>CUST618</t>
  </si>
  <si>
    <t>Ashley Wilson</t>
  </si>
  <si>
    <t>CUST619</t>
  </si>
  <si>
    <t>James Jones</t>
  </si>
  <si>
    <t>CUST620</t>
  </si>
  <si>
    <t>CUST621</t>
  </si>
  <si>
    <t>CUST622</t>
  </si>
  <si>
    <t>Edward Martin</t>
  </si>
  <si>
    <t>CUST623</t>
  </si>
  <si>
    <t>Carol Flores</t>
  </si>
  <si>
    <t>CUST624</t>
  </si>
  <si>
    <t>Kevin Jackson</t>
  </si>
  <si>
    <t>CUST625</t>
  </si>
  <si>
    <t>Thomas Flores</t>
  </si>
  <si>
    <t>CUST626</t>
  </si>
  <si>
    <t>Richard Taylor</t>
  </si>
  <si>
    <t>CUST627</t>
  </si>
  <si>
    <t>Patricia Young</t>
  </si>
  <si>
    <t>CUST628</t>
  </si>
  <si>
    <t>Steven Brown</t>
  </si>
  <si>
    <t>CUST629</t>
  </si>
  <si>
    <t>Barbara Thompson</t>
  </si>
  <si>
    <t>CUST630</t>
  </si>
  <si>
    <t>Betty Allen</t>
  </si>
  <si>
    <t>CUST631</t>
  </si>
  <si>
    <t>Susan Torres</t>
  </si>
  <si>
    <t>CUST632</t>
  </si>
  <si>
    <t>Daniel Allen</t>
  </si>
  <si>
    <t>CUST633</t>
  </si>
  <si>
    <t>CUST634</t>
  </si>
  <si>
    <t>Robert Anderson</t>
  </si>
  <si>
    <t>CUST635</t>
  </si>
  <si>
    <t>CUST636</t>
  </si>
  <si>
    <t>Charles Jones</t>
  </si>
  <si>
    <t>CUST637</t>
  </si>
  <si>
    <t>CUST638</t>
  </si>
  <si>
    <t>CUST639</t>
  </si>
  <si>
    <t>Steven Walker</t>
  </si>
  <si>
    <t>CUST640</t>
  </si>
  <si>
    <t>James Wright</t>
  </si>
  <si>
    <t>CUST641</t>
  </si>
  <si>
    <t>CUST642</t>
  </si>
  <si>
    <t>Karen Allen</t>
  </si>
  <si>
    <t>CUST643</t>
  </si>
  <si>
    <t>Karen Johnson</t>
  </si>
  <si>
    <t>CUST644</t>
  </si>
  <si>
    <t>Amanda Martinez</t>
  </si>
  <si>
    <t>CUST645</t>
  </si>
  <si>
    <t>Jennifer Harris</t>
  </si>
  <si>
    <t>CUST646</t>
  </si>
  <si>
    <t>Barbara Wright</t>
  </si>
  <si>
    <t>CUST647</t>
  </si>
  <si>
    <t>Daniel Smith</t>
  </si>
  <si>
    <t>CUST648</t>
  </si>
  <si>
    <t>Melissa Lee</t>
  </si>
  <si>
    <t>CUST649</t>
  </si>
  <si>
    <t>Susan Ramirez</t>
  </si>
  <si>
    <t>CUST650</t>
  </si>
  <si>
    <t>CUST651</t>
  </si>
  <si>
    <t>CUST652</t>
  </si>
  <si>
    <t>CUST653</t>
  </si>
  <si>
    <t>Donald Clark</t>
  </si>
  <si>
    <t>CUST654</t>
  </si>
  <si>
    <t>CUST655</t>
  </si>
  <si>
    <t>Christopher Wright</t>
  </si>
  <si>
    <t>CUST656</t>
  </si>
  <si>
    <t>Anthony Wilson</t>
  </si>
  <si>
    <t>CUST657</t>
  </si>
  <si>
    <t>Joshua Wright</t>
  </si>
  <si>
    <t>CUST658</t>
  </si>
  <si>
    <t>CUST659</t>
  </si>
  <si>
    <t>Emily White</t>
  </si>
  <si>
    <t>CUST660</t>
  </si>
  <si>
    <t>Daniel Thomas</t>
  </si>
  <si>
    <t>CUST661</t>
  </si>
  <si>
    <t>Jennifer Hernandez</t>
  </si>
  <si>
    <t>CUST662</t>
  </si>
  <si>
    <t>CUST663</t>
  </si>
  <si>
    <t>Carol Davis</t>
  </si>
  <si>
    <t>CUST664</t>
  </si>
  <si>
    <t>Kimberly Brown</t>
  </si>
  <si>
    <t>CUST665</t>
  </si>
  <si>
    <t>Kimberly Wilson</t>
  </si>
  <si>
    <t>CUST666</t>
  </si>
  <si>
    <t>CUST667</t>
  </si>
  <si>
    <t>CUST668</t>
  </si>
  <si>
    <t>CUST669</t>
  </si>
  <si>
    <t>CUST670</t>
  </si>
  <si>
    <t>Joshua Taylor</t>
  </si>
  <si>
    <t>CUST671</t>
  </si>
  <si>
    <t>Anthony Garcia</t>
  </si>
  <si>
    <t>CUST672</t>
  </si>
  <si>
    <t>Jennifer Thompson</t>
  </si>
  <si>
    <t>CUST673</t>
  </si>
  <si>
    <t>Elizabeth Flores</t>
  </si>
  <si>
    <t>CUST674</t>
  </si>
  <si>
    <t>Kevin Lewis</t>
  </si>
  <si>
    <t>CUST675</t>
  </si>
  <si>
    <t>CUST676</t>
  </si>
  <si>
    <t>Patricia Thomas</t>
  </si>
  <si>
    <t>CUST677</t>
  </si>
  <si>
    <t>Matthew Torres</t>
  </si>
  <si>
    <t>CUST678</t>
  </si>
  <si>
    <t>William Martin</t>
  </si>
  <si>
    <t>CUST679</t>
  </si>
  <si>
    <t>CUST680</t>
  </si>
  <si>
    <t>CUST681</t>
  </si>
  <si>
    <t>John Williams</t>
  </si>
  <si>
    <t>CUST682</t>
  </si>
  <si>
    <t>Sarah Rodriguez</t>
  </si>
  <si>
    <t>CUST683</t>
  </si>
  <si>
    <t>CUST684</t>
  </si>
  <si>
    <t>Jessica Jackson</t>
  </si>
  <si>
    <t>CUST685</t>
  </si>
  <si>
    <t>Edward Sanchez</t>
  </si>
  <si>
    <t>CUST686</t>
  </si>
  <si>
    <t>CUST687</t>
  </si>
  <si>
    <t>Daniel Taylor</t>
  </si>
  <si>
    <t>CUST688</t>
  </si>
  <si>
    <t>Brian Hill</t>
  </si>
  <si>
    <t>CUST689</t>
  </si>
  <si>
    <t>Edward Walker</t>
  </si>
  <si>
    <t>CUST690</t>
  </si>
  <si>
    <t>Margaret Perez</t>
  </si>
  <si>
    <t>CUST691</t>
  </si>
  <si>
    <t>Deborah Lopez</t>
  </si>
  <si>
    <t>CUST692</t>
  </si>
  <si>
    <t>Sarah Scott</t>
  </si>
  <si>
    <t>CUST693</t>
  </si>
  <si>
    <t>Karen Martinez</t>
  </si>
  <si>
    <t>CUST694</t>
  </si>
  <si>
    <t>CUST695</t>
  </si>
  <si>
    <t>Brian Torres</t>
  </si>
  <si>
    <t>CUST696</t>
  </si>
  <si>
    <t>Jessica Perez</t>
  </si>
  <si>
    <t>CUST697</t>
  </si>
  <si>
    <t>CUST698</t>
  </si>
  <si>
    <t>William White</t>
  </si>
  <si>
    <t>CUST699</t>
  </si>
  <si>
    <t>CUST700</t>
  </si>
  <si>
    <t>Mary Lopez</t>
  </si>
  <si>
    <t>CUST701</t>
  </si>
  <si>
    <t>Kevin Martinez</t>
  </si>
  <si>
    <t>CUST702</t>
  </si>
  <si>
    <t>CUST703</t>
  </si>
  <si>
    <t>CUST704</t>
  </si>
  <si>
    <t>Sarah Wright</t>
  </si>
  <si>
    <t>CUST705</t>
  </si>
  <si>
    <t>James Lopez</t>
  </si>
  <si>
    <t>CUST706</t>
  </si>
  <si>
    <t>Patricia Thompson</t>
  </si>
  <si>
    <t>CUST707</t>
  </si>
  <si>
    <t>CUST708</t>
  </si>
  <si>
    <t>Sandra Young</t>
  </si>
  <si>
    <t>CUST709</t>
  </si>
  <si>
    <t>Ashley Moore</t>
  </si>
  <si>
    <t>CUST710</t>
  </si>
  <si>
    <t>CUST711</t>
  </si>
  <si>
    <t>Melissa Flores</t>
  </si>
  <si>
    <t>CUST712</t>
  </si>
  <si>
    <t>CUST713</t>
  </si>
  <si>
    <t>Richard Allen</t>
  </si>
  <si>
    <t>CUST714</t>
  </si>
  <si>
    <t>CUST715</t>
  </si>
  <si>
    <t>CUST716</t>
  </si>
  <si>
    <t>Lisa Davis</t>
  </si>
  <si>
    <t>CUST717</t>
  </si>
  <si>
    <t>CUST718</t>
  </si>
  <si>
    <t>CUST719</t>
  </si>
  <si>
    <t>CUST720</t>
  </si>
  <si>
    <t>CUST721</t>
  </si>
  <si>
    <t>Joshua Lee</t>
  </si>
  <si>
    <t>CUST722</t>
  </si>
  <si>
    <t>CUST723</t>
  </si>
  <si>
    <t>Michael Johnson</t>
  </si>
  <si>
    <t>CUST724</t>
  </si>
  <si>
    <t>George Hill</t>
  </si>
  <si>
    <t>CUST725</t>
  </si>
  <si>
    <t>Andrew Jones</t>
  </si>
  <si>
    <t>CUST726</t>
  </si>
  <si>
    <t>CUST727</t>
  </si>
  <si>
    <t>Robert Martinez</t>
  </si>
  <si>
    <t>CUST728</t>
  </si>
  <si>
    <t>Mark Williams</t>
  </si>
  <si>
    <t>CUST729</t>
  </si>
  <si>
    <t>Deborah Jackson</t>
  </si>
  <si>
    <t>CUST730</t>
  </si>
  <si>
    <t>Susan Lee</t>
  </si>
  <si>
    <t>CUST731</t>
  </si>
  <si>
    <t>CUST732</t>
  </si>
  <si>
    <t>CUST733</t>
  </si>
  <si>
    <t>CUST734</t>
  </si>
  <si>
    <t>Ashley Thomas</t>
  </si>
  <si>
    <t>CUST735</t>
  </si>
  <si>
    <t>Joshua Williams</t>
  </si>
  <si>
    <t>CUST736</t>
  </si>
  <si>
    <t>Brian Ramirez</t>
  </si>
  <si>
    <t>CUST737</t>
  </si>
  <si>
    <t>CUST738</t>
  </si>
  <si>
    <t>CUST739</t>
  </si>
  <si>
    <t>Matthew Thomas</t>
  </si>
  <si>
    <t>CUST740</t>
  </si>
  <si>
    <t>Barbara Taylor</t>
  </si>
  <si>
    <t>CUST741</t>
  </si>
  <si>
    <t>Linda Smith</t>
  </si>
  <si>
    <t>CUST742</t>
  </si>
  <si>
    <t>Joseph Jones</t>
  </si>
  <si>
    <t>CUST743</t>
  </si>
  <si>
    <t>CUST744</t>
  </si>
  <si>
    <t>David Smith</t>
  </si>
  <si>
    <t>CUST745</t>
  </si>
  <si>
    <t>CUST746</t>
  </si>
  <si>
    <t>CUST747</t>
  </si>
  <si>
    <t>Mary Wilson</t>
  </si>
  <si>
    <t>CUST748</t>
  </si>
  <si>
    <t>Christopher Moore</t>
  </si>
  <si>
    <t>CUST749</t>
  </si>
  <si>
    <t>CUST750</t>
  </si>
  <si>
    <t>Lisa King</t>
  </si>
  <si>
    <t>CUST751</t>
  </si>
  <si>
    <t>Anthony Hernandez</t>
  </si>
  <si>
    <t>CUST752</t>
  </si>
  <si>
    <t>CUST753</t>
  </si>
  <si>
    <t>Sandra Martinez</t>
  </si>
  <si>
    <t>CUST754</t>
  </si>
  <si>
    <t>Amanda Martin</t>
  </si>
  <si>
    <t>CUST755</t>
  </si>
  <si>
    <t>Carol Ramirez</t>
  </si>
  <si>
    <t>CUST756</t>
  </si>
  <si>
    <t>CUST757</t>
  </si>
  <si>
    <t>Donna Wilson</t>
  </si>
  <si>
    <t>CUST758</t>
  </si>
  <si>
    <t>CUST759</t>
  </si>
  <si>
    <t>CUST760</t>
  </si>
  <si>
    <t>Matthew Jackson</t>
  </si>
  <si>
    <t>CUST761</t>
  </si>
  <si>
    <t>Carol Lewis</t>
  </si>
  <si>
    <t>CUST762</t>
  </si>
  <si>
    <t>CUST763</t>
  </si>
  <si>
    <t>CUST764</t>
  </si>
  <si>
    <t>Jessica Garcia</t>
  </si>
  <si>
    <t>CUST765</t>
  </si>
  <si>
    <t>Mary Torres</t>
  </si>
  <si>
    <t>CUST766</t>
  </si>
  <si>
    <t>John Smith</t>
  </si>
  <si>
    <t>CUST767</t>
  </si>
  <si>
    <t>George Davis</t>
  </si>
  <si>
    <t>CUST768</t>
  </si>
  <si>
    <t>Kenneth Johnson</t>
  </si>
  <si>
    <t>CUST769</t>
  </si>
  <si>
    <t>Linda Jones</t>
  </si>
  <si>
    <t>CUST770</t>
  </si>
  <si>
    <t>Emily Harris</t>
  </si>
  <si>
    <t>CUST771</t>
  </si>
  <si>
    <t>CUST772</t>
  </si>
  <si>
    <t>CUST773</t>
  </si>
  <si>
    <t>CUST774</t>
  </si>
  <si>
    <t>Paul King</t>
  </si>
  <si>
    <t>CUST775</t>
  </si>
  <si>
    <t>CUST776</t>
  </si>
  <si>
    <t>Joseph Wright</t>
  </si>
  <si>
    <t>CUST777</t>
  </si>
  <si>
    <t>CUST778</t>
  </si>
  <si>
    <t>CUST779</t>
  </si>
  <si>
    <t>Brian Walker</t>
  </si>
  <si>
    <t>CUST780</t>
  </si>
  <si>
    <t>CUST781</t>
  </si>
  <si>
    <t>Joseph Hernandez</t>
  </si>
  <si>
    <t>CUST782</t>
  </si>
  <si>
    <t>CUST783</t>
  </si>
  <si>
    <t>CUST784</t>
  </si>
  <si>
    <t>Edward Harris</t>
  </si>
  <si>
    <t>CUST785</t>
  </si>
  <si>
    <t>Amanda Flores</t>
  </si>
  <si>
    <t>CUST786</t>
  </si>
  <si>
    <t>Patricia Anderson</t>
  </si>
  <si>
    <t>CUST787</t>
  </si>
  <si>
    <t>CUST788</t>
  </si>
  <si>
    <t>Linda Gonzalez</t>
  </si>
  <si>
    <t>CUST789</t>
  </si>
  <si>
    <t>CUST790</t>
  </si>
  <si>
    <t>CUST791</t>
  </si>
  <si>
    <t>Joseph Rodriguez</t>
  </si>
  <si>
    <t>CUST792</t>
  </si>
  <si>
    <t>Margaret Taylor</t>
  </si>
  <si>
    <t>CUST793</t>
  </si>
  <si>
    <t>Ashley Gonzalez</t>
  </si>
  <si>
    <t>CUST794</t>
  </si>
  <si>
    <t>Dorothy Brown</t>
  </si>
  <si>
    <t>CUST795</t>
  </si>
  <si>
    <t>CUST796</t>
  </si>
  <si>
    <t>CUST797</t>
  </si>
  <si>
    <t>Karen Smith</t>
  </si>
  <si>
    <t>CUST798</t>
  </si>
  <si>
    <t>CUST799</t>
  </si>
  <si>
    <t>Steven Robinson</t>
  </si>
  <si>
    <t>CUST800</t>
  </si>
  <si>
    <t>CUST801</t>
  </si>
  <si>
    <t>Jessica Robinson</t>
  </si>
  <si>
    <t>CUST802</t>
  </si>
  <si>
    <t>CUST803</t>
  </si>
  <si>
    <t>Michael Scott</t>
  </si>
  <si>
    <t>CUST804</t>
  </si>
  <si>
    <t>CUST805</t>
  </si>
  <si>
    <t>Barbara Garcia</t>
  </si>
  <si>
    <t>CUST806</t>
  </si>
  <si>
    <t>Joshua Garcia</t>
  </si>
  <si>
    <t>CUST807</t>
  </si>
  <si>
    <t>Kimberly Ramirez</t>
  </si>
  <si>
    <t>CUST808</t>
  </si>
  <si>
    <t>Patricia Miller</t>
  </si>
  <si>
    <t>CUST809</t>
  </si>
  <si>
    <t>Michelle Lee</t>
  </si>
  <si>
    <t>CUST810</t>
  </si>
  <si>
    <t>Michael Flores</t>
  </si>
  <si>
    <t>CUST811</t>
  </si>
  <si>
    <t>Susan Smith</t>
  </si>
  <si>
    <t>CUST812</t>
  </si>
  <si>
    <t>CUST813</t>
  </si>
  <si>
    <t>Betty Flores</t>
  </si>
  <si>
    <t>CUST814</t>
  </si>
  <si>
    <t>Mark White</t>
  </si>
  <si>
    <t>CUST815</t>
  </si>
  <si>
    <t>Karen Garcia</t>
  </si>
  <si>
    <t>CUST816</t>
  </si>
  <si>
    <t>Mark Scott</t>
  </si>
  <si>
    <t>CUST817</t>
  </si>
  <si>
    <t>John Scott</t>
  </si>
  <si>
    <t>CUST818</t>
  </si>
  <si>
    <t>Christopher Perez</t>
  </si>
  <si>
    <t>CUST819</t>
  </si>
  <si>
    <t>David Harris</t>
  </si>
  <si>
    <t>CUST820</t>
  </si>
  <si>
    <t>Elizabeth Hernandez</t>
  </si>
  <si>
    <t>CUST821</t>
  </si>
  <si>
    <t>Andrew Williams</t>
  </si>
  <si>
    <t>CUST822</t>
  </si>
  <si>
    <t>Daniel White</t>
  </si>
  <si>
    <t>CUST823</t>
  </si>
  <si>
    <t>Michael Lopez</t>
  </si>
  <si>
    <t>CUST824</t>
  </si>
  <si>
    <t>Sarah Clark</t>
  </si>
  <si>
    <t>CUST825</t>
  </si>
  <si>
    <t>CUST826</t>
  </si>
  <si>
    <t>Elizabeth Smith</t>
  </si>
  <si>
    <t>CUST827</t>
  </si>
  <si>
    <t>Robert White</t>
  </si>
  <si>
    <t>CUST828</t>
  </si>
  <si>
    <t>CUST829</t>
  </si>
  <si>
    <t>Kevin Wright</t>
  </si>
  <si>
    <t>CUST830</t>
  </si>
  <si>
    <t>Dorothy Hernandez</t>
  </si>
  <si>
    <t>CUST831</t>
  </si>
  <si>
    <t>Donald Harris</t>
  </si>
  <si>
    <t>CUST832</t>
  </si>
  <si>
    <t>Elizabeth Thompson</t>
  </si>
  <si>
    <t>CUST833</t>
  </si>
  <si>
    <t>Anthony Thomas</t>
  </si>
  <si>
    <t>CUST834</t>
  </si>
  <si>
    <t>CUST835</t>
  </si>
  <si>
    <t>CUST836</t>
  </si>
  <si>
    <t>Joshua Thompson</t>
  </si>
  <si>
    <t>CUST837</t>
  </si>
  <si>
    <t>Susan Walker</t>
  </si>
  <si>
    <t>CUST838</t>
  </si>
  <si>
    <t>CUST839</t>
  </si>
  <si>
    <t>CUST840</t>
  </si>
  <si>
    <t>CUST841</t>
  </si>
  <si>
    <t>Melissa Smith</t>
  </si>
  <si>
    <t>CUST842</t>
  </si>
  <si>
    <t>Mary Young</t>
  </si>
  <si>
    <t>CUST843</t>
  </si>
  <si>
    <t>Sarah Lee</t>
  </si>
  <si>
    <t>CUST844</t>
  </si>
  <si>
    <t>Nancy Taylor</t>
  </si>
  <si>
    <t>CUST845</t>
  </si>
  <si>
    <t>George Brown</t>
  </si>
  <si>
    <t>CUST846</t>
  </si>
  <si>
    <t>Joshua Scott</t>
  </si>
  <si>
    <t>CUST847</t>
  </si>
  <si>
    <t>Steven Thomas</t>
  </si>
  <si>
    <t>CUST848</t>
  </si>
  <si>
    <t>David Ramirez</t>
  </si>
  <si>
    <t>CUST849</t>
  </si>
  <si>
    <t>CUST850</t>
  </si>
  <si>
    <t>Sarah Hill</t>
  </si>
  <si>
    <t>CUST851</t>
  </si>
  <si>
    <t>Susan Davis</t>
  </si>
  <si>
    <t>CUST852</t>
  </si>
  <si>
    <t>Paul Davis</t>
  </si>
  <si>
    <t>CUST853</t>
  </si>
  <si>
    <t>Amanda Wright</t>
  </si>
  <si>
    <t>CUST854</t>
  </si>
  <si>
    <t>CUST855</t>
  </si>
  <si>
    <t>Richard Rodriguez</t>
  </si>
  <si>
    <t>CUST856</t>
  </si>
  <si>
    <t>Sarah Jackson</t>
  </si>
  <si>
    <t>CUST857</t>
  </si>
  <si>
    <t>Carol Robinson</t>
  </si>
  <si>
    <t>CUST858</t>
  </si>
  <si>
    <t>Steven Scott</t>
  </si>
  <si>
    <t>CUST859</t>
  </si>
  <si>
    <t>CUST860</t>
  </si>
  <si>
    <t>Christopher Lee</t>
  </si>
  <si>
    <t>CUST861</t>
  </si>
  <si>
    <t>CUST862</t>
  </si>
  <si>
    <t>CUST863</t>
  </si>
  <si>
    <t>Anthony Young</t>
  </si>
  <si>
    <t>CUST864</t>
  </si>
  <si>
    <t>CUST865</t>
  </si>
  <si>
    <t>CUST866</t>
  </si>
  <si>
    <t>Joshua Torres</t>
  </si>
  <si>
    <t>CUST867</t>
  </si>
  <si>
    <t>CUST868</t>
  </si>
  <si>
    <t>Carol Young</t>
  </si>
  <si>
    <t>CUST869</t>
  </si>
  <si>
    <t>Margaret Brown</t>
  </si>
  <si>
    <t>CUST870</t>
  </si>
  <si>
    <t>James Rodriguez</t>
  </si>
  <si>
    <t>CUST871</t>
  </si>
  <si>
    <t>Nancy Robinson</t>
  </si>
  <si>
    <t>CUST872</t>
  </si>
  <si>
    <t>CUST873</t>
  </si>
  <si>
    <t>William Flores</t>
  </si>
  <si>
    <t>CUST874</t>
  </si>
  <si>
    <t>Deborah Thomas</t>
  </si>
  <si>
    <t>CUST875</t>
  </si>
  <si>
    <t>Kenneth Lewis</t>
  </si>
  <si>
    <t>CUST876</t>
  </si>
  <si>
    <t>George Scott</t>
  </si>
  <si>
    <t>CUST877</t>
  </si>
  <si>
    <t>CUST878</t>
  </si>
  <si>
    <t>CUST879</t>
  </si>
  <si>
    <t>Sarah Harris</t>
  </si>
  <si>
    <t>CUST880</t>
  </si>
  <si>
    <t>CUST881</t>
  </si>
  <si>
    <t>Karen Taylor</t>
  </si>
  <si>
    <t>CUST882</t>
  </si>
  <si>
    <t>James Harris</t>
  </si>
  <si>
    <t>CUST883</t>
  </si>
  <si>
    <t>CUST884</t>
  </si>
  <si>
    <t>Margaret Jackson</t>
  </si>
  <si>
    <t>CUST885</t>
  </si>
  <si>
    <t>Patricia Davis</t>
  </si>
  <si>
    <t>CUST886</t>
  </si>
  <si>
    <t>Thomas Thomas</t>
  </si>
  <si>
    <t>CUST887</t>
  </si>
  <si>
    <t>Charles Thomas</t>
  </si>
  <si>
    <t>CUST888</t>
  </si>
  <si>
    <t>CUST889</t>
  </si>
  <si>
    <t>CUST890</t>
  </si>
  <si>
    <t>Jessica Ramirez</t>
  </si>
  <si>
    <t>CUST891</t>
  </si>
  <si>
    <t>Robert Wilson</t>
  </si>
  <si>
    <t>CUST892</t>
  </si>
  <si>
    <t>Mary Hill</t>
  </si>
  <si>
    <t>CUST893</t>
  </si>
  <si>
    <t>Andrew Martinez</t>
  </si>
  <si>
    <t>CUST894</t>
  </si>
  <si>
    <t>Elizabeth Brown</t>
  </si>
  <si>
    <t>CUST895</t>
  </si>
  <si>
    <t>Lisa Walker</t>
  </si>
  <si>
    <t>CUST896</t>
  </si>
  <si>
    <t>Sandra Scott</t>
  </si>
  <si>
    <t>CUST897</t>
  </si>
  <si>
    <t>Sarah Lopez</t>
  </si>
  <si>
    <t>CUST898</t>
  </si>
  <si>
    <t>Lisa Rodriguez</t>
  </si>
  <si>
    <t>CUST899</t>
  </si>
  <si>
    <t>Edward Davis</t>
  </si>
  <si>
    <t>CUST900</t>
  </si>
  <si>
    <t>CUST901</t>
  </si>
  <si>
    <t>Robert Jackson</t>
  </si>
  <si>
    <t>CUST902</t>
  </si>
  <si>
    <t>CUST903</t>
  </si>
  <si>
    <t>CUST904</t>
  </si>
  <si>
    <t>James Martin</t>
  </si>
  <si>
    <t>CUST905</t>
  </si>
  <si>
    <t>John Hill</t>
  </si>
  <si>
    <t>CUST906</t>
  </si>
  <si>
    <t>CUST907</t>
  </si>
  <si>
    <t>CUST908</t>
  </si>
  <si>
    <t>CUST909</t>
  </si>
  <si>
    <t>Barbara Hernandez</t>
  </si>
  <si>
    <t>CUST910</t>
  </si>
  <si>
    <t>CUST911</t>
  </si>
  <si>
    <t>Jessica Walker</t>
  </si>
  <si>
    <t>CUST912</t>
  </si>
  <si>
    <t>Jessica Scott</t>
  </si>
  <si>
    <t>CUST913</t>
  </si>
  <si>
    <t>CUST914</t>
  </si>
  <si>
    <t>CUST915</t>
  </si>
  <si>
    <t>Donald Flores</t>
  </si>
  <si>
    <t>CUST916</t>
  </si>
  <si>
    <t>CUST917</t>
  </si>
  <si>
    <t>Sandra Williams</t>
  </si>
  <si>
    <t>CUST918</t>
  </si>
  <si>
    <t>Christopher Garcia</t>
  </si>
  <si>
    <t>CUST919</t>
  </si>
  <si>
    <t>Melissa Gonzalez</t>
  </si>
  <si>
    <t>CUST920</t>
  </si>
  <si>
    <t>CUST921</t>
  </si>
  <si>
    <t>Nancy Brown</t>
  </si>
  <si>
    <t>CUST922</t>
  </si>
  <si>
    <t>CUST923</t>
  </si>
  <si>
    <t>CUST924</t>
  </si>
  <si>
    <t>CUST925</t>
  </si>
  <si>
    <t>Anthony Miller</t>
  </si>
  <si>
    <t>CUST926</t>
  </si>
  <si>
    <t>CUST927</t>
  </si>
  <si>
    <t>CUST928</t>
  </si>
  <si>
    <t>Jennifer Wright</t>
  </si>
  <si>
    <t>CUST929</t>
  </si>
  <si>
    <t>CUST930</t>
  </si>
  <si>
    <t>CUST931</t>
  </si>
  <si>
    <t>Andrew Lopez</t>
  </si>
  <si>
    <t>CUST932</t>
  </si>
  <si>
    <t>Kevin Anderson</t>
  </si>
  <si>
    <t>CUST933</t>
  </si>
  <si>
    <t>Dorothy Taylor</t>
  </si>
  <si>
    <t>CUST934</t>
  </si>
  <si>
    <t>Jennifer Walker</t>
  </si>
  <si>
    <t>CUST935</t>
  </si>
  <si>
    <t>CUST936</t>
  </si>
  <si>
    <t>Robert Rodriguez</t>
  </si>
  <si>
    <t>CUST937</t>
  </si>
  <si>
    <t>CUST938</t>
  </si>
  <si>
    <t>Christopher Jones</t>
  </si>
  <si>
    <t>CUST939</t>
  </si>
  <si>
    <t>CUST940</t>
  </si>
  <si>
    <t>CUST941</t>
  </si>
  <si>
    <t>Karen Hernandez</t>
  </si>
  <si>
    <t>CUST942</t>
  </si>
  <si>
    <t>CUST943</t>
  </si>
  <si>
    <t>Donald Davis</t>
  </si>
  <si>
    <t>CUST944</t>
  </si>
  <si>
    <t>Steven Taylor</t>
  </si>
  <si>
    <t>CUST945</t>
  </si>
  <si>
    <t>Patricia Moore</t>
  </si>
  <si>
    <t>CUST946</t>
  </si>
  <si>
    <t>Elizabeth Martinez</t>
  </si>
  <si>
    <t>CUST947</t>
  </si>
  <si>
    <t>CUST948</t>
  </si>
  <si>
    <t>CUST949</t>
  </si>
  <si>
    <t>Mark Wright</t>
  </si>
  <si>
    <t>CUST950</t>
  </si>
  <si>
    <t>CUST951</t>
  </si>
  <si>
    <t>Anthony Perez</t>
  </si>
  <si>
    <t>CUST952</t>
  </si>
  <si>
    <t>Emily Martinez</t>
  </si>
  <si>
    <t>CUST953</t>
  </si>
  <si>
    <t>CUST954</t>
  </si>
  <si>
    <t>Joseph Miller</t>
  </si>
  <si>
    <t>CUST955</t>
  </si>
  <si>
    <t>Mary Nguyen</t>
  </si>
  <si>
    <t>CUST956</t>
  </si>
  <si>
    <t>Patricia Scott</t>
  </si>
  <si>
    <t>CUST957</t>
  </si>
  <si>
    <t>James Young</t>
  </si>
  <si>
    <t>CUST958</t>
  </si>
  <si>
    <t>CUST959</t>
  </si>
  <si>
    <t>Joseph Martin</t>
  </si>
  <si>
    <t>CUST960</t>
  </si>
  <si>
    <t>Daniel Perez</t>
  </si>
  <si>
    <t>CUST961</t>
  </si>
  <si>
    <t>Karen Perez</t>
  </si>
  <si>
    <t>CUST962</t>
  </si>
  <si>
    <t>Dorothy Moore</t>
  </si>
  <si>
    <t>CUST963</t>
  </si>
  <si>
    <t>Charles Garcia</t>
  </si>
  <si>
    <t>CUST964</t>
  </si>
  <si>
    <t>CUST965</t>
  </si>
  <si>
    <t>Elizabeth Hill</t>
  </si>
  <si>
    <t>CUST966</t>
  </si>
  <si>
    <t>John Martin</t>
  </si>
  <si>
    <t>CUST967</t>
  </si>
  <si>
    <t>Dorothy Hill</t>
  </si>
  <si>
    <t>CUST968</t>
  </si>
  <si>
    <t>Linda Miller</t>
  </si>
  <si>
    <t>CUST969</t>
  </si>
  <si>
    <t>Charles Thompson</t>
  </si>
  <si>
    <t>CUST970</t>
  </si>
  <si>
    <t>Melissa Rodriguez</t>
  </si>
  <si>
    <t>CUST971</t>
  </si>
  <si>
    <t>David Hernandez</t>
  </si>
  <si>
    <t>CUST972</t>
  </si>
  <si>
    <t>CUST973</t>
  </si>
  <si>
    <t>Karen Jones</t>
  </si>
  <si>
    <t>CUST974</t>
  </si>
  <si>
    <t>Linda Torres</t>
  </si>
  <si>
    <t>CUST975</t>
  </si>
  <si>
    <t>CUST976</t>
  </si>
  <si>
    <t>Amanda Harris</t>
  </si>
  <si>
    <t>CUST977</t>
  </si>
  <si>
    <t>CUST978</t>
  </si>
  <si>
    <t>CUST979</t>
  </si>
  <si>
    <t>CUST980</t>
  </si>
  <si>
    <t>Kimberly Davis</t>
  </si>
  <si>
    <t>CUST981</t>
  </si>
  <si>
    <t>Dorothy Flores</t>
  </si>
  <si>
    <t>CUST982</t>
  </si>
  <si>
    <t>Linda Allen</t>
  </si>
  <si>
    <t>CUST983</t>
  </si>
  <si>
    <t>CUST984</t>
  </si>
  <si>
    <t>CUST985</t>
  </si>
  <si>
    <t>Dorothy Miller</t>
  </si>
  <si>
    <t>CUST986</t>
  </si>
  <si>
    <t>Dorothy Torres</t>
  </si>
  <si>
    <t>CUST987</t>
  </si>
  <si>
    <t>Paul Wilson</t>
  </si>
  <si>
    <t>CUST988</t>
  </si>
  <si>
    <t>Betty Williams</t>
  </si>
  <si>
    <t>CUST989</t>
  </si>
  <si>
    <t>George Wilson</t>
  </si>
  <si>
    <t>CUST990</t>
  </si>
  <si>
    <t>Robert Young</t>
  </si>
  <si>
    <t>CUST991</t>
  </si>
  <si>
    <t>Steven Harris</t>
  </si>
  <si>
    <t>CUST992</t>
  </si>
  <si>
    <t>Robert Walker</t>
  </si>
  <si>
    <t>CUST993</t>
  </si>
  <si>
    <t>CUST994</t>
  </si>
  <si>
    <t>Dorothy Rodriguez</t>
  </si>
  <si>
    <t>CUST995</t>
  </si>
  <si>
    <t>William Torres</t>
  </si>
  <si>
    <t>CUST996</t>
  </si>
  <si>
    <t>Anthony Moore</t>
  </si>
  <si>
    <t>CUST997</t>
  </si>
  <si>
    <t>Joseph Sanchez</t>
  </si>
  <si>
    <t>CUST998</t>
  </si>
  <si>
    <t>Donna Smith</t>
  </si>
  <si>
    <t>CUST999</t>
  </si>
  <si>
    <t>CUST1000</t>
  </si>
  <si>
    <t>Joseph Lopez</t>
  </si>
  <si>
    <t>Order_ID</t>
  </si>
  <si>
    <t>Order_Date</t>
  </si>
  <si>
    <t>Product_Category</t>
  </si>
  <si>
    <t>Quantity</t>
  </si>
  <si>
    <t>Price_per_Unit</t>
  </si>
  <si>
    <t>Sales</t>
  </si>
  <si>
    <t>Discount</t>
  </si>
  <si>
    <t>Profit</t>
  </si>
  <si>
    <t>Month</t>
  </si>
  <si>
    <t>Profit_Margin</t>
  </si>
  <si>
    <t>2023-11-24</t>
  </si>
  <si>
    <t>Beauty</t>
  </si>
  <si>
    <t>2023-02-27</t>
  </si>
  <si>
    <t>Clothing</t>
  </si>
  <si>
    <t>2023-01-13</t>
  </si>
  <si>
    <t>Electronics</t>
  </si>
  <si>
    <t>2023-05-21</t>
  </si>
  <si>
    <t>2023-05-06</t>
  </si>
  <si>
    <t>2023-04-25</t>
  </si>
  <si>
    <t>2023-03-13</t>
  </si>
  <si>
    <t>2023-02-22</t>
  </si>
  <si>
    <t>2023-12-13</t>
  </si>
  <si>
    <t>2023-10-07</t>
  </si>
  <si>
    <t>2023-02-14</t>
  </si>
  <si>
    <t>2023-10-30</t>
  </si>
  <si>
    <t>2023-08-05</t>
  </si>
  <si>
    <t>2023-01-17</t>
  </si>
  <si>
    <t>2023-01-16</t>
  </si>
  <si>
    <t>2023-02-17</t>
  </si>
  <si>
    <t>2023-04-22</t>
  </si>
  <si>
    <t>2023-04-30</t>
  </si>
  <si>
    <t>2023-09-16</t>
  </si>
  <si>
    <t>2023-11-05</t>
  </si>
  <si>
    <t>2023-01-14</t>
  </si>
  <si>
    <t>2023-10-15</t>
  </si>
  <si>
    <t>2023-04-12</t>
  </si>
  <si>
    <t>2023-11-29</t>
  </si>
  <si>
    <t>2023-12-26</t>
  </si>
  <si>
    <t>2023-08-03</t>
  </si>
  <si>
    <t>2023-04-23</t>
  </si>
  <si>
    <t>2023-08-18</t>
  </si>
  <si>
    <t>2023-10-29</t>
  </si>
  <si>
    <t>2023-05-23</t>
  </si>
  <si>
    <t>2023-01-04</t>
  </si>
  <si>
    <t>2023-03-23</t>
  </si>
  <si>
    <t>2023-12-24</t>
  </si>
  <si>
    <t>2023-06-24</t>
  </si>
  <si>
    <t>2023-03-21</t>
  </si>
  <si>
    <t>2023-04-21</t>
  </si>
  <si>
    <t>2023-06-22</t>
  </si>
  <si>
    <t>2023-07-14</t>
  </si>
  <si>
    <t>2023-02-19</t>
  </si>
  <si>
    <t>2023-07-03</t>
  </si>
  <si>
    <t>2023-06-26</t>
  </si>
  <si>
    <t>2023-11-06</t>
  </si>
  <si>
    <t>2023-05-16</t>
  </si>
  <si>
    <t>2023-01-23</t>
  </si>
  <si>
    <t>2023-08-24</t>
  </si>
  <si>
    <t>2023-10-02</t>
  </si>
  <si>
    <t>2023-03-05</t>
  </si>
  <si>
    <t>2023-07-13</t>
  </si>
  <si>
    <t>2023-02-10</t>
  </si>
  <si>
    <t>2023-10-10</t>
  </si>
  <si>
    <t>2023-05-31</t>
  </si>
  <si>
    <t>2023-11-18</t>
  </si>
  <si>
    <t>2023-11-13</t>
  </si>
  <si>
    <t>2023-07-05</t>
  </si>
  <si>
    <t>2023-10-23</t>
  </si>
  <si>
    <t>2023-04-09</t>
  </si>
  <si>
    <t>2023-12-27</t>
  </si>
  <si>
    <t>2023-02-05</t>
  </si>
  <si>
    <t>2023-01-24</t>
  </si>
  <si>
    <t>2023-12-05</t>
  </si>
  <si>
    <t>2023-04-27</t>
  </si>
  <si>
    <t>2023-05-29</t>
  </si>
  <si>
    <t>2023-02-21</t>
  </si>
  <si>
    <t>2023-08-21</t>
  </si>
  <si>
    <t>2023-11-22</t>
  </si>
  <si>
    <t>2023-07-06</t>
  </si>
  <si>
    <t>2023-03-25</t>
  </si>
  <si>
    <t>2023-07-09</t>
  </si>
  <si>
    <t>2023-07-01</t>
  </si>
  <si>
    <t>2023-04-18</t>
  </si>
  <si>
    <t>2023-12-10</t>
  </si>
  <si>
    <t>2023-05-17</t>
  </si>
  <si>
    <t>2023-12-16</t>
  </si>
  <si>
    <t>2023-11-28</t>
  </si>
  <si>
    <t>2023-02-06</t>
  </si>
  <si>
    <t>2023-11-08</t>
  </si>
  <si>
    <t>2023-03-29</t>
  </si>
  <si>
    <t>2023-10-01</t>
  </si>
  <si>
    <t>2023-08-25</t>
  </si>
  <si>
    <t>2023-05-19</t>
  </si>
  <si>
    <t>2023-12-19</t>
  </si>
  <si>
    <t>2023-10-13</t>
  </si>
  <si>
    <t>2023-12-17</t>
  </si>
  <si>
    <t>2023-06-16</t>
  </si>
  <si>
    <t>2023-01-29</t>
  </si>
  <si>
    <t>2023-04-28</t>
  </si>
  <si>
    <t>2023-06-11</t>
  </si>
  <si>
    <t>2023-07-25</t>
  </si>
  <si>
    <t>2023-05-18</t>
  </si>
  <si>
    <t>2023-02-03</t>
  </si>
  <si>
    <t>2023-04-19</t>
  </si>
  <si>
    <t>2023-10-18</t>
  </si>
  <si>
    <t>2023-12-02</t>
  </si>
  <si>
    <t>2023-09-13</t>
  </si>
  <si>
    <t>2023-07-22</t>
  </si>
  <si>
    <t>2023-11-26</t>
  </si>
  <si>
    <t>2023-08-23</t>
  </si>
  <si>
    <t>2023-03-15</t>
  </si>
  <si>
    <t>2023-05-07</t>
  </si>
  <si>
    <t>2023-10-03</t>
  </si>
  <si>
    <t>2023-05-15</t>
  </si>
  <si>
    <t>2023-10-27</t>
  </si>
  <si>
    <t>2023-08-08</t>
  </si>
  <si>
    <t>2023-10-26</t>
  </si>
  <si>
    <t>2023-07-24</t>
  </si>
  <si>
    <t>2023-03-12</t>
  </si>
  <si>
    <t>2023-09-18</t>
  </si>
  <si>
    <t>2023-09-10</t>
  </si>
  <si>
    <t>2023-02-16</t>
  </si>
  <si>
    <t>2023-01-25</t>
  </si>
  <si>
    <t>2023-02-26</t>
  </si>
  <si>
    <t>2023-03-20</t>
  </si>
  <si>
    <t>2023-12-15</t>
  </si>
  <si>
    <t>2023-11-02</t>
  </si>
  <si>
    <t>2023-02-02</t>
  </si>
  <si>
    <t>2023-07-17</t>
  </si>
  <si>
    <t>2023-07-15</t>
  </si>
  <si>
    <t>2023-08-28</t>
  </si>
  <si>
    <t>2023-09-28</t>
  </si>
  <si>
    <t>2023-05-09</t>
  </si>
  <si>
    <t>2023-10-11</t>
  </si>
  <si>
    <t>2023-01-06</t>
  </si>
  <si>
    <t>2023-02-28</t>
  </si>
  <si>
    <t>2023-11-25</t>
  </si>
  <si>
    <t>2023-08-11</t>
  </si>
  <si>
    <t>2023-03-22</t>
  </si>
  <si>
    <t>2023-01-02</t>
  </si>
  <si>
    <t>2023-09-14</t>
  </si>
  <si>
    <t>2023-04-02</t>
  </si>
  <si>
    <t>2023-09-17</t>
  </si>
  <si>
    <t>2023-02-24</t>
  </si>
  <si>
    <t>2023-11-17</t>
  </si>
  <si>
    <t>2023-06-02</t>
  </si>
  <si>
    <t>2023-07-11</t>
  </si>
  <si>
    <t>2023-03-24</t>
  </si>
  <si>
    <t>2023-10-04</t>
  </si>
  <si>
    <t>2023-09-29</t>
  </si>
  <si>
    <t>2023-01-01</t>
  </si>
  <si>
    <t>2023-11-03</t>
  </si>
  <si>
    <t>2023-06-15</t>
  </si>
  <si>
    <t>2023-09-08</t>
  </si>
  <si>
    <t>2023-01-10</t>
  </si>
  <si>
    <t>2023-06-07</t>
  </si>
  <si>
    <t>2023-05-03</t>
  </si>
  <si>
    <t>2023-01-30</t>
  </si>
  <si>
    <t>2023-05-04</t>
  </si>
  <si>
    <t>2023-02-13</t>
  </si>
  <si>
    <t>2023-09-06</t>
  </si>
  <si>
    <t>2023-09-30</t>
  </si>
  <si>
    <t>2023-03-06</t>
  </si>
  <si>
    <t>2023-03-07</t>
  </si>
  <si>
    <t>2023-12-04</t>
  </si>
  <si>
    <t>2023-09-01</t>
  </si>
  <si>
    <t>2023-10-09</t>
  </si>
  <si>
    <t>2023-03-26</t>
  </si>
  <si>
    <t>2023-11-07</t>
  </si>
  <si>
    <t>2023-12-20</t>
  </si>
  <si>
    <t>2023-04-13</t>
  </si>
  <si>
    <t>2024-01-01</t>
  </si>
  <si>
    <t>2023-06-09</t>
  </si>
  <si>
    <t>2023-08-13</t>
  </si>
  <si>
    <t>2023-09-22</t>
  </si>
  <si>
    <t>2023-08-20</t>
  </si>
  <si>
    <t>2023-03-03</t>
  </si>
  <si>
    <t>2023-04-26</t>
  </si>
  <si>
    <t>2023-06-23</t>
  </si>
  <si>
    <t>2023-01-11</t>
  </si>
  <si>
    <t>2023-12-29</t>
  </si>
  <si>
    <t>2023-11-20</t>
  </si>
  <si>
    <t>2023-01-31</t>
  </si>
  <si>
    <t>2023-02-04</t>
  </si>
  <si>
    <t>2023-06-19</t>
  </si>
  <si>
    <t>2023-09-21</t>
  </si>
  <si>
    <t>2023-05-02</t>
  </si>
  <si>
    <t>2023-12-09</t>
  </si>
  <si>
    <t>2023-04-20</t>
  </si>
  <si>
    <t>2023-03-09</t>
  </si>
  <si>
    <t>2023-10-20</t>
  </si>
  <si>
    <t>2023-08-31</t>
  </si>
  <si>
    <t>2023-05-05</t>
  </si>
  <si>
    <t>2023-07-28</t>
  </si>
  <si>
    <t>2023-04-08</t>
  </si>
  <si>
    <t>2023-02-18</t>
  </si>
  <si>
    <t>2023-08-09</t>
  </si>
  <si>
    <t>2023-07-30</t>
  </si>
  <si>
    <t>2023-01-28</t>
  </si>
  <si>
    <t>2023-12-11</t>
  </si>
  <si>
    <t>2023-12-01</t>
  </si>
  <si>
    <t>2023-11-27</t>
  </si>
  <si>
    <t>2023-02-20</t>
  </si>
  <si>
    <t>2023-02-01</t>
  </si>
  <si>
    <t>2023-07-26</t>
  </si>
  <si>
    <t>2023-02-25</t>
  </si>
  <si>
    <t>2023-05-08</t>
  </si>
  <si>
    <t>2023-04-04</t>
  </si>
  <si>
    <t>2023-02-08</t>
  </si>
  <si>
    <t>2023-08-15</t>
  </si>
  <si>
    <t>2023-01-26</t>
  </si>
  <si>
    <t>2023-11-30</t>
  </si>
  <si>
    <t>2023-01-08</t>
  </si>
  <si>
    <t>2023-03-27</t>
  </si>
  <si>
    <t>2023-09-04</t>
  </si>
  <si>
    <t>2023-07-19</t>
  </si>
  <si>
    <t>2023-05-27</t>
  </si>
  <si>
    <t>2023-12-23</t>
  </si>
  <si>
    <t>2023-10-12</t>
  </si>
  <si>
    <t>2023-09-07</t>
  </si>
  <si>
    <t>2023-06-01</t>
  </si>
  <si>
    <t>2023-10-24</t>
  </si>
  <si>
    <t>2023-10-05</t>
  </si>
  <si>
    <t>2023-06-10</t>
  </si>
  <si>
    <t>2023-09-02</t>
  </si>
  <si>
    <t>2023-09-15</t>
  </si>
  <si>
    <t>2023-02-11</t>
  </si>
  <si>
    <t>2023-04-06</t>
  </si>
  <si>
    <t>2023-11-01</t>
  </si>
  <si>
    <t>2023-12-12</t>
  </si>
  <si>
    <t>2023-05-01</t>
  </si>
  <si>
    <t>2023-10-19</t>
  </si>
  <si>
    <t>2023-01-21</t>
  </si>
  <si>
    <t>2023-11-14</t>
  </si>
  <si>
    <t>2023-12-03</t>
  </si>
  <si>
    <t>2023-10-17</t>
  </si>
  <si>
    <t>2023-09-25</t>
  </si>
  <si>
    <t>2023-05-14</t>
  </si>
  <si>
    <t>2023-04-15</t>
  </si>
  <si>
    <t>2023-06-03</t>
  </si>
  <si>
    <t>2023-02-07</t>
  </si>
  <si>
    <t>2023-01-05</t>
  </si>
  <si>
    <t>2023-11-15</t>
  </si>
  <si>
    <t>2023-10-16</t>
  </si>
  <si>
    <t>2023-06-28</t>
  </si>
  <si>
    <t>2023-05-26</t>
  </si>
  <si>
    <t>2023-10-06</t>
  </si>
  <si>
    <t>2023-06-04</t>
  </si>
  <si>
    <t>2023-11-10</t>
  </si>
  <si>
    <t>2023-12-08</t>
  </si>
  <si>
    <t>2023-12-06</t>
  </si>
  <si>
    <t>2023-02-23</t>
  </si>
  <si>
    <t>2023-03-10</t>
  </si>
  <si>
    <t>2023-03-01</t>
  </si>
  <si>
    <t>2023-05-20</t>
  </si>
  <si>
    <t>2023-05-25</t>
  </si>
  <si>
    <t>2023-06-25</t>
  </si>
  <si>
    <t>2023-12-18</t>
  </si>
  <si>
    <t>2023-11-21</t>
  </si>
  <si>
    <t>2023-01-27</t>
  </si>
  <si>
    <t>2023-05-22</t>
  </si>
  <si>
    <t>2023-06-20</t>
  </si>
  <si>
    <t>2023-03-08</t>
  </si>
  <si>
    <t>2023-11-23</t>
  </si>
  <si>
    <t>2023-12-28</t>
  </si>
  <si>
    <t>2023-08-07</t>
  </si>
  <si>
    <t>2023-03-18</t>
  </si>
  <si>
    <t>2023-01-19</t>
  </si>
  <si>
    <t>2023-03-17</t>
  </si>
  <si>
    <t>2023-01-22</t>
  </si>
  <si>
    <t>2023-10-14</t>
  </si>
  <si>
    <t>2023-04-01</t>
  </si>
  <si>
    <t>2023-07-31</t>
  </si>
  <si>
    <t>2023-01-20</t>
  </si>
  <si>
    <t>2023-08-29</t>
  </si>
  <si>
    <t>2023-04-24</t>
  </si>
  <si>
    <t>2023-06-29</t>
  </si>
  <si>
    <t>2023-06-06</t>
  </si>
  <si>
    <t>2023-06-18</t>
  </si>
  <si>
    <t>2023-12-14</t>
  </si>
  <si>
    <t>2023-01-15</t>
  </si>
  <si>
    <t>2023-10-25</t>
  </si>
  <si>
    <t>2023-08-12</t>
  </si>
  <si>
    <t>2023-09-19</t>
  </si>
  <si>
    <t>2023-05-11</t>
  </si>
  <si>
    <t>2023-09-24</t>
  </si>
  <si>
    <t>2023-04-11</t>
  </si>
  <si>
    <t>2023-12-07</t>
  </si>
  <si>
    <t>2023-11-16</t>
  </si>
  <si>
    <t>2023-06-08</t>
  </si>
  <si>
    <t>2023-07-29</t>
  </si>
  <si>
    <t>2023-06-17</t>
  </si>
  <si>
    <t>2023-08-04</t>
  </si>
  <si>
    <t>2023-03-31</t>
  </si>
  <si>
    <t>2023-11-12</t>
  </si>
  <si>
    <t>2023-07-27</t>
  </si>
  <si>
    <t>2023-10-08</t>
  </si>
  <si>
    <t>2023-06-05</t>
  </si>
  <si>
    <t>2023-06-14</t>
  </si>
  <si>
    <t>2023-08-27</t>
  </si>
  <si>
    <t>2023-03-28</t>
  </si>
  <si>
    <t>2023-06-21</t>
  </si>
  <si>
    <t>2023-11-09</t>
  </si>
  <si>
    <t>2023-08-22</t>
  </si>
  <si>
    <t>2023-08-01</t>
  </si>
  <si>
    <t>2023-11-19</t>
  </si>
  <si>
    <t>2023-10-22</t>
  </si>
  <si>
    <t>2023-04-10</t>
  </si>
  <si>
    <t>2023-07-16</t>
  </si>
  <si>
    <t>2023-09-11</t>
  </si>
  <si>
    <t>2023-01-03</t>
  </si>
  <si>
    <t>2023-08-06</t>
  </si>
  <si>
    <t>2023-09-23</t>
  </si>
  <si>
    <t>2023-08-26</t>
  </si>
  <si>
    <t>2023-03-04</t>
  </si>
  <si>
    <t>2023-06-12</t>
  </si>
  <si>
    <t>2023-08-17</t>
  </si>
  <si>
    <t>2023-08-19</t>
  </si>
  <si>
    <t>2023-05-13</t>
  </si>
  <si>
    <t>2023-08-14</t>
  </si>
  <si>
    <t>2023-02-09</t>
  </si>
  <si>
    <t>2023-06-13</t>
  </si>
  <si>
    <t>2023-03-19</t>
  </si>
  <si>
    <t>2023-04-29</t>
  </si>
  <si>
    <t>2023-12-22</t>
  </si>
  <si>
    <t>2023-04-16</t>
  </si>
  <si>
    <t>2023-06-30</t>
  </si>
  <si>
    <t>2023-07-21</t>
  </si>
  <si>
    <t>2023-10-31</t>
  </si>
  <si>
    <t>2023-02-12</t>
  </si>
  <si>
    <t>2023-03-11</t>
  </si>
  <si>
    <t>2023-05-10</t>
  </si>
  <si>
    <t>2023-12-25</t>
  </si>
  <si>
    <t>2023-05-12</t>
  </si>
  <si>
    <t>2023-07-08</t>
  </si>
  <si>
    <t>2023-07-12</t>
  </si>
  <si>
    <t>2023-07-23</t>
  </si>
  <si>
    <t>2023-11-04</t>
  </si>
  <si>
    <t>2023-06-27</t>
  </si>
  <si>
    <t>2023-01-07</t>
  </si>
  <si>
    <t>2023-08-10</t>
  </si>
  <si>
    <t>2023-09-05</t>
  </si>
  <si>
    <t>2023-05-24</t>
  </si>
  <si>
    <t>2023-12-31</t>
  </si>
  <si>
    <t>2023-09-09</t>
  </si>
  <si>
    <t>2023-01-09</t>
  </si>
  <si>
    <t>2023-12-21</t>
  </si>
  <si>
    <t>2023-04-05</t>
  </si>
  <si>
    <t>2023-09-26</t>
  </si>
  <si>
    <t>2023-07-04</t>
  </si>
  <si>
    <t>2023-05-30</t>
  </si>
  <si>
    <t>2023-10-21</t>
  </si>
  <si>
    <t>2023-09-03</t>
  </si>
  <si>
    <t>2023-03-02</t>
  </si>
  <si>
    <t>2023-08-02</t>
  </si>
  <si>
    <t>2023-04-17</t>
  </si>
  <si>
    <t>2023-03-30</t>
  </si>
  <si>
    <t>2023-05-28</t>
  </si>
  <si>
    <t>Sales &amp; Profit by Region</t>
  </si>
  <si>
    <t>Total_Sales</t>
  </si>
  <si>
    <t>Total_Profit</t>
  </si>
  <si>
    <t>Order_Count</t>
  </si>
  <si>
    <t>Sales &amp; Profit Margin by Product Category</t>
  </si>
  <si>
    <t>Sales by Region and Category</t>
  </si>
  <si>
    <t>Sales &amp; Profit by Customer Segment</t>
  </si>
  <si>
    <t>Monthly Sales Trend</t>
  </si>
  <si>
    <t>Top 10 Customers by Revenue</t>
  </si>
  <si>
    <t>Rank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</si>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</sst>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"/>
    <numFmt numFmtId="165" formatCode="0.0%"/>
    <numFmt numFmtId="166" formatCode="\$#,##0.00"/>
  </numFmts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2" fillId="2" borderId="0" xfId="0" applyFont="1" applyFill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166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/>
    <xf numFmtId="165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6" width="14" customWidth="1"/>
  </cols>
  <sheetData>
    <row r="1" spans="1:6" x14ac:dyDescent="0.25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34</v>
      </c>
    </row>
    <row r="3" spans="1:6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26</v>
      </c>
    </row>
    <row r="4" spans="1:6" x14ac:dyDescent="0.25">
      <c r="A4" t="s">
        <v>25</v>
      </c>
      <c r="B4" t="s">
        <v>26</v>
      </c>
      <c r="C4" t="s">
        <v>17</v>
      </c>
      <c r="D4" t="s">
        <v>18</v>
      </c>
      <c r="E4" t="s">
        <v>19</v>
      </c>
      <c r="F4">
        <v>50</v>
      </c>
    </row>
    <row r="5" spans="1:6" x14ac:dyDescent="0.25">
      <c r="A5" t="s">
        <v>27</v>
      </c>
      <c r="B5" t="s">
        <v>28</v>
      </c>
      <c r="C5" t="s">
        <v>17</v>
      </c>
      <c r="D5" t="s">
        <v>29</v>
      </c>
      <c r="E5" t="s">
        <v>19</v>
      </c>
      <c r="F5">
        <v>37</v>
      </c>
    </row>
    <row r="6" spans="1:6" x14ac:dyDescent="0.25">
      <c r="A6" t="s">
        <v>30</v>
      </c>
      <c r="B6" t="s">
        <v>31</v>
      </c>
      <c r="C6" t="s">
        <v>32</v>
      </c>
      <c r="D6" t="s">
        <v>23</v>
      </c>
      <c r="E6" t="s">
        <v>19</v>
      </c>
      <c r="F6">
        <v>30</v>
      </c>
    </row>
    <row r="7" spans="1:6" x14ac:dyDescent="0.25">
      <c r="A7" t="s">
        <v>33</v>
      </c>
      <c r="B7" t="s">
        <v>34</v>
      </c>
      <c r="C7" t="s">
        <v>22</v>
      </c>
      <c r="D7" t="s">
        <v>18</v>
      </c>
      <c r="E7" t="s">
        <v>24</v>
      </c>
      <c r="F7">
        <v>45</v>
      </c>
    </row>
    <row r="8" spans="1:6" x14ac:dyDescent="0.25">
      <c r="A8" t="s">
        <v>35</v>
      </c>
      <c r="B8" t="s">
        <v>36</v>
      </c>
      <c r="C8" t="s">
        <v>37</v>
      </c>
      <c r="D8" t="s">
        <v>23</v>
      </c>
      <c r="E8" t="s">
        <v>19</v>
      </c>
      <c r="F8">
        <v>46</v>
      </c>
    </row>
    <row r="9" spans="1:6" x14ac:dyDescent="0.25">
      <c r="A9" t="s">
        <v>38</v>
      </c>
      <c r="B9" t="s">
        <v>39</v>
      </c>
      <c r="C9" t="s">
        <v>22</v>
      </c>
      <c r="D9" t="s">
        <v>23</v>
      </c>
      <c r="E9" t="s">
        <v>19</v>
      </c>
      <c r="F9">
        <v>30</v>
      </c>
    </row>
    <row r="10" spans="1:6" x14ac:dyDescent="0.25">
      <c r="A10" t="s">
        <v>40</v>
      </c>
      <c r="B10" t="s">
        <v>41</v>
      </c>
      <c r="C10" t="s">
        <v>32</v>
      </c>
      <c r="D10" t="s">
        <v>23</v>
      </c>
      <c r="E10" t="s">
        <v>19</v>
      </c>
      <c r="F10">
        <v>63</v>
      </c>
    </row>
    <row r="11" spans="1:6" x14ac:dyDescent="0.25">
      <c r="A11" t="s">
        <v>42</v>
      </c>
      <c r="B11" t="s">
        <v>43</v>
      </c>
      <c r="C11" t="s">
        <v>22</v>
      </c>
      <c r="D11" t="s">
        <v>29</v>
      </c>
      <c r="E11" t="s">
        <v>24</v>
      </c>
      <c r="F11">
        <v>52</v>
      </c>
    </row>
    <row r="12" spans="1:6" x14ac:dyDescent="0.25">
      <c r="A12" t="s">
        <v>44</v>
      </c>
      <c r="B12" t="s">
        <v>45</v>
      </c>
      <c r="C12" t="s">
        <v>32</v>
      </c>
      <c r="D12" t="s">
        <v>23</v>
      </c>
      <c r="E12" t="s">
        <v>19</v>
      </c>
      <c r="F12">
        <v>23</v>
      </c>
    </row>
    <row r="13" spans="1:6" x14ac:dyDescent="0.25">
      <c r="A13" t="s">
        <v>46</v>
      </c>
      <c r="B13" t="s">
        <v>47</v>
      </c>
      <c r="C13" t="s">
        <v>32</v>
      </c>
      <c r="D13" t="s">
        <v>23</v>
      </c>
      <c r="E13" t="s">
        <v>19</v>
      </c>
      <c r="F13">
        <v>35</v>
      </c>
    </row>
    <row r="14" spans="1:6" x14ac:dyDescent="0.25">
      <c r="A14" t="s">
        <v>48</v>
      </c>
      <c r="B14" t="s">
        <v>49</v>
      </c>
      <c r="C14" t="s">
        <v>22</v>
      </c>
      <c r="D14" t="s">
        <v>23</v>
      </c>
      <c r="E14" t="s">
        <v>19</v>
      </c>
      <c r="F14">
        <v>22</v>
      </c>
    </row>
    <row r="15" spans="1:6" x14ac:dyDescent="0.25">
      <c r="A15" t="s">
        <v>50</v>
      </c>
      <c r="B15" t="s">
        <v>51</v>
      </c>
      <c r="C15" t="s">
        <v>37</v>
      </c>
      <c r="D15" t="s">
        <v>23</v>
      </c>
      <c r="E15" t="s">
        <v>19</v>
      </c>
      <c r="F15">
        <v>64</v>
      </c>
    </row>
    <row r="16" spans="1:6" x14ac:dyDescent="0.25">
      <c r="A16" t="s">
        <v>52</v>
      </c>
      <c r="B16" t="s">
        <v>53</v>
      </c>
      <c r="C16" t="s">
        <v>22</v>
      </c>
      <c r="D16" t="s">
        <v>23</v>
      </c>
      <c r="E16" t="s">
        <v>24</v>
      </c>
      <c r="F16">
        <v>42</v>
      </c>
    </row>
    <row r="17" spans="1:6" x14ac:dyDescent="0.25">
      <c r="A17" t="s">
        <v>54</v>
      </c>
      <c r="B17" t="s">
        <v>55</v>
      </c>
      <c r="C17" t="s">
        <v>17</v>
      </c>
      <c r="D17" t="s">
        <v>29</v>
      </c>
      <c r="E17" t="s">
        <v>19</v>
      </c>
      <c r="F17">
        <v>19</v>
      </c>
    </row>
    <row r="18" spans="1:6" x14ac:dyDescent="0.25">
      <c r="A18" t="s">
        <v>56</v>
      </c>
      <c r="B18" t="s">
        <v>57</v>
      </c>
      <c r="C18" t="s">
        <v>32</v>
      </c>
      <c r="D18" t="s">
        <v>23</v>
      </c>
      <c r="E18" t="s">
        <v>24</v>
      </c>
      <c r="F18">
        <v>27</v>
      </c>
    </row>
    <row r="19" spans="1:6" x14ac:dyDescent="0.25">
      <c r="A19" t="s">
        <v>58</v>
      </c>
      <c r="B19" t="s">
        <v>59</v>
      </c>
      <c r="C19" t="s">
        <v>37</v>
      </c>
      <c r="D19" t="s">
        <v>23</v>
      </c>
      <c r="E19" t="s">
        <v>24</v>
      </c>
      <c r="F19">
        <v>47</v>
      </c>
    </row>
    <row r="20" spans="1:6" x14ac:dyDescent="0.25">
      <c r="A20" t="s">
        <v>60</v>
      </c>
      <c r="B20" t="s">
        <v>61</v>
      </c>
      <c r="C20" t="s">
        <v>17</v>
      </c>
      <c r="D20" t="s">
        <v>29</v>
      </c>
      <c r="E20" t="s">
        <v>24</v>
      </c>
      <c r="F20">
        <v>62</v>
      </c>
    </row>
    <row r="21" spans="1:6" x14ac:dyDescent="0.25">
      <c r="A21" t="s">
        <v>62</v>
      </c>
      <c r="B21" t="s">
        <v>63</v>
      </c>
      <c r="C21" t="s">
        <v>22</v>
      </c>
      <c r="D21" t="s">
        <v>23</v>
      </c>
      <c r="E21" t="s">
        <v>19</v>
      </c>
      <c r="F21">
        <v>22</v>
      </c>
    </row>
    <row r="22" spans="1:6" x14ac:dyDescent="0.25">
      <c r="A22" t="s">
        <v>64</v>
      </c>
      <c r="B22" t="s">
        <v>65</v>
      </c>
      <c r="C22" t="s">
        <v>37</v>
      </c>
      <c r="D22" t="s">
        <v>29</v>
      </c>
      <c r="E22" t="s">
        <v>24</v>
      </c>
      <c r="F22">
        <v>50</v>
      </c>
    </row>
    <row r="23" spans="1:6" x14ac:dyDescent="0.25">
      <c r="A23" t="s">
        <v>66</v>
      </c>
      <c r="B23" t="s">
        <v>67</v>
      </c>
      <c r="C23" t="s">
        <v>32</v>
      </c>
      <c r="D23" t="s">
        <v>23</v>
      </c>
      <c r="E23" t="s">
        <v>19</v>
      </c>
      <c r="F23">
        <v>18</v>
      </c>
    </row>
    <row r="24" spans="1:6" x14ac:dyDescent="0.25">
      <c r="A24" t="s">
        <v>68</v>
      </c>
      <c r="B24" t="s">
        <v>69</v>
      </c>
      <c r="C24" t="s">
        <v>37</v>
      </c>
      <c r="D24" t="s">
        <v>23</v>
      </c>
      <c r="E24" t="s">
        <v>24</v>
      </c>
      <c r="F24">
        <v>35</v>
      </c>
    </row>
    <row r="25" spans="1:6" x14ac:dyDescent="0.25">
      <c r="A25" t="s">
        <v>70</v>
      </c>
      <c r="B25" t="s">
        <v>71</v>
      </c>
      <c r="C25" t="s">
        <v>32</v>
      </c>
      <c r="D25" t="s">
        <v>23</v>
      </c>
      <c r="E25" t="s">
        <v>24</v>
      </c>
      <c r="F25">
        <v>49</v>
      </c>
    </row>
    <row r="26" spans="1:6" x14ac:dyDescent="0.25">
      <c r="A26" t="s">
        <v>72</v>
      </c>
      <c r="B26" t="s">
        <v>73</v>
      </c>
      <c r="C26" t="s">
        <v>32</v>
      </c>
      <c r="D26" t="s">
        <v>23</v>
      </c>
      <c r="E26" t="s">
        <v>24</v>
      </c>
      <c r="F26">
        <v>64</v>
      </c>
    </row>
    <row r="27" spans="1:6" x14ac:dyDescent="0.25">
      <c r="A27" t="s">
        <v>74</v>
      </c>
      <c r="B27" t="s">
        <v>75</v>
      </c>
      <c r="C27" t="s">
        <v>22</v>
      </c>
      <c r="D27" t="s">
        <v>23</v>
      </c>
      <c r="E27" t="s">
        <v>24</v>
      </c>
      <c r="F27">
        <v>28</v>
      </c>
    </row>
    <row r="28" spans="1:6" x14ac:dyDescent="0.25">
      <c r="A28" t="s">
        <v>76</v>
      </c>
      <c r="B28" t="s">
        <v>77</v>
      </c>
      <c r="C28" t="s">
        <v>37</v>
      </c>
      <c r="D28" t="s">
        <v>18</v>
      </c>
      <c r="E28" t="s">
        <v>24</v>
      </c>
      <c r="F28">
        <v>38</v>
      </c>
    </row>
    <row r="29" spans="1:6" x14ac:dyDescent="0.25">
      <c r="A29" t="s">
        <v>78</v>
      </c>
      <c r="B29" t="s">
        <v>79</v>
      </c>
      <c r="C29" t="s">
        <v>22</v>
      </c>
      <c r="D29" t="s">
        <v>23</v>
      </c>
      <c r="E29" t="s">
        <v>24</v>
      </c>
      <c r="F29">
        <v>43</v>
      </c>
    </row>
    <row r="30" spans="1:6" x14ac:dyDescent="0.25">
      <c r="A30" t="s">
        <v>80</v>
      </c>
      <c r="B30" t="s">
        <v>81</v>
      </c>
      <c r="C30" t="s">
        <v>32</v>
      </c>
      <c r="D30" t="s">
        <v>29</v>
      </c>
      <c r="E30" t="s">
        <v>24</v>
      </c>
      <c r="F30">
        <v>42</v>
      </c>
    </row>
    <row r="31" spans="1:6" x14ac:dyDescent="0.25">
      <c r="A31" t="s">
        <v>82</v>
      </c>
      <c r="B31" t="s">
        <v>83</v>
      </c>
      <c r="C31" t="s">
        <v>22</v>
      </c>
      <c r="D31" t="s">
        <v>29</v>
      </c>
      <c r="E31" t="s">
        <v>24</v>
      </c>
      <c r="F31">
        <v>39</v>
      </c>
    </row>
    <row r="32" spans="1:6" x14ac:dyDescent="0.25">
      <c r="A32" t="s">
        <v>84</v>
      </c>
      <c r="B32" t="s">
        <v>85</v>
      </c>
      <c r="C32" t="s">
        <v>32</v>
      </c>
      <c r="D32" t="s">
        <v>23</v>
      </c>
      <c r="E32" t="s">
        <v>19</v>
      </c>
      <c r="F32">
        <v>44</v>
      </c>
    </row>
    <row r="33" spans="1:6" x14ac:dyDescent="0.25">
      <c r="A33" t="s">
        <v>86</v>
      </c>
      <c r="B33" t="s">
        <v>87</v>
      </c>
      <c r="C33" t="s">
        <v>32</v>
      </c>
      <c r="D33" t="s">
        <v>29</v>
      </c>
      <c r="E33" t="s">
        <v>19</v>
      </c>
      <c r="F33">
        <v>30</v>
      </c>
    </row>
    <row r="34" spans="1:6" x14ac:dyDescent="0.25">
      <c r="A34" t="s">
        <v>88</v>
      </c>
      <c r="B34" t="s">
        <v>89</v>
      </c>
      <c r="C34" t="s">
        <v>22</v>
      </c>
      <c r="D34" t="s">
        <v>23</v>
      </c>
      <c r="E34" t="s">
        <v>24</v>
      </c>
      <c r="F34">
        <v>50</v>
      </c>
    </row>
    <row r="35" spans="1:6" x14ac:dyDescent="0.25">
      <c r="A35" t="s">
        <v>90</v>
      </c>
      <c r="B35" t="s">
        <v>91</v>
      </c>
      <c r="C35" t="s">
        <v>37</v>
      </c>
      <c r="D35" t="s">
        <v>23</v>
      </c>
      <c r="E35" t="s">
        <v>24</v>
      </c>
      <c r="F35">
        <v>51</v>
      </c>
    </row>
    <row r="36" spans="1:6" x14ac:dyDescent="0.25">
      <c r="A36" t="s">
        <v>92</v>
      </c>
      <c r="B36" t="s">
        <v>93</v>
      </c>
      <c r="C36" t="s">
        <v>22</v>
      </c>
      <c r="D36" t="s">
        <v>23</v>
      </c>
      <c r="E36" t="s">
        <v>24</v>
      </c>
      <c r="F36">
        <v>58</v>
      </c>
    </row>
    <row r="37" spans="1:6" x14ac:dyDescent="0.25">
      <c r="A37" t="s">
        <v>94</v>
      </c>
      <c r="B37" t="s">
        <v>95</v>
      </c>
      <c r="C37" t="s">
        <v>32</v>
      </c>
      <c r="D37" t="s">
        <v>29</v>
      </c>
      <c r="E37" t="s">
        <v>19</v>
      </c>
      <c r="F37">
        <v>52</v>
      </c>
    </row>
    <row r="38" spans="1:6" x14ac:dyDescent="0.25">
      <c r="A38" t="s">
        <v>96</v>
      </c>
      <c r="B38" t="s">
        <v>97</v>
      </c>
      <c r="C38" t="s">
        <v>22</v>
      </c>
      <c r="D38" t="s">
        <v>18</v>
      </c>
      <c r="E38" t="s">
        <v>24</v>
      </c>
      <c r="F38">
        <v>18</v>
      </c>
    </row>
    <row r="39" spans="1:6" x14ac:dyDescent="0.25">
      <c r="A39" t="s">
        <v>98</v>
      </c>
      <c r="B39" t="s">
        <v>99</v>
      </c>
      <c r="C39" t="s">
        <v>22</v>
      </c>
      <c r="D39" t="s">
        <v>23</v>
      </c>
      <c r="E39" t="s">
        <v>19</v>
      </c>
      <c r="F39">
        <v>38</v>
      </c>
    </row>
    <row r="40" spans="1:6" x14ac:dyDescent="0.25">
      <c r="A40" t="s">
        <v>100</v>
      </c>
      <c r="B40" t="s">
        <v>101</v>
      </c>
      <c r="C40" t="s">
        <v>22</v>
      </c>
      <c r="D40" t="s">
        <v>29</v>
      </c>
      <c r="E40" t="s">
        <v>19</v>
      </c>
      <c r="F40">
        <v>23</v>
      </c>
    </row>
    <row r="41" spans="1:6" x14ac:dyDescent="0.25">
      <c r="A41" t="s">
        <v>102</v>
      </c>
      <c r="B41" t="s">
        <v>103</v>
      </c>
      <c r="C41" t="s">
        <v>17</v>
      </c>
      <c r="D41" t="s">
        <v>29</v>
      </c>
      <c r="E41" t="s">
        <v>19</v>
      </c>
      <c r="F41">
        <v>45</v>
      </c>
    </row>
    <row r="42" spans="1:6" x14ac:dyDescent="0.25">
      <c r="A42" t="s">
        <v>104</v>
      </c>
      <c r="B42" t="s">
        <v>105</v>
      </c>
      <c r="C42" t="s">
        <v>17</v>
      </c>
      <c r="D42" t="s">
        <v>23</v>
      </c>
      <c r="E42" t="s">
        <v>19</v>
      </c>
      <c r="F42">
        <v>34</v>
      </c>
    </row>
    <row r="43" spans="1:6" x14ac:dyDescent="0.25">
      <c r="A43" t="s">
        <v>106</v>
      </c>
      <c r="B43" t="s">
        <v>107</v>
      </c>
      <c r="C43" t="s">
        <v>32</v>
      </c>
      <c r="D43" t="s">
        <v>29</v>
      </c>
      <c r="E43" t="s">
        <v>19</v>
      </c>
      <c r="F43">
        <v>22</v>
      </c>
    </row>
    <row r="44" spans="1:6" x14ac:dyDescent="0.25">
      <c r="A44" t="s">
        <v>108</v>
      </c>
      <c r="B44" t="s">
        <v>109</v>
      </c>
      <c r="C44" t="s">
        <v>32</v>
      </c>
      <c r="D44" t="s">
        <v>29</v>
      </c>
      <c r="E44" t="s">
        <v>24</v>
      </c>
      <c r="F44">
        <v>48</v>
      </c>
    </row>
    <row r="45" spans="1:6" x14ac:dyDescent="0.25">
      <c r="A45" t="s">
        <v>110</v>
      </c>
      <c r="B45" t="s">
        <v>111</v>
      </c>
      <c r="C45" t="s">
        <v>32</v>
      </c>
      <c r="D45" t="s">
        <v>18</v>
      </c>
      <c r="E45" t="s">
        <v>24</v>
      </c>
      <c r="F45">
        <v>22</v>
      </c>
    </row>
    <row r="46" spans="1:6" x14ac:dyDescent="0.25">
      <c r="A46" t="s">
        <v>112</v>
      </c>
      <c r="B46" t="s">
        <v>113</v>
      </c>
      <c r="C46" t="s">
        <v>17</v>
      </c>
      <c r="D46" t="s">
        <v>18</v>
      </c>
      <c r="E46" t="s">
        <v>24</v>
      </c>
      <c r="F46">
        <v>55</v>
      </c>
    </row>
    <row r="47" spans="1:6" x14ac:dyDescent="0.25">
      <c r="A47" t="s">
        <v>114</v>
      </c>
      <c r="B47" t="s">
        <v>115</v>
      </c>
      <c r="C47" t="s">
        <v>22</v>
      </c>
      <c r="D47" t="s">
        <v>23</v>
      </c>
      <c r="E47" t="s">
        <v>24</v>
      </c>
      <c r="F47">
        <v>20</v>
      </c>
    </row>
    <row r="48" spans="1:6" x14ac:dyDescent="0.25">
      <c r="A48" t="s">
        <v>116</v>
      </c>
      <c r="B48" t="s">
        <v>117</v>
      </c>
      <c r="C48" t="s">
        <v>17</v>
      </c>
      <c r="D48" t="s">
        <v>23</v>
      </c>
      <c r="E48" t="s">
        <v>24</v>
      </c>
      <c r="F48">
        <v>40</v>
      </c>
    </row>
    <row r="49" spans="1:6" x14ac:dyDescent="0.25">
      <c r="A49" t="s">
        <v>118</v>
      </c>
      <c r="B49" t="s">
        <v>119</v>
      </c>
      <c r="C49" t="s">
        <v>32</v>
      </c>
      <c r="D49" t="s">
        <v>29</v>
      </c>
      <c r="E49" t="s">
        <v>19</v>
      </c>
      <c r="F49">
        <v>54</v>
      </c>
    </row>
    <row r="50" spans="1:6" x14ac:dyDescent="0.25">
      <c r="A50" t="s">
        <v>120</v>
      </c>
      <c r="B50" t="s">
        <v>121</v>
      </c>
      <c r="C50" t="s">
        <v>37</v>
      </c>
      <c r="D50" t="s">
        <v>23</v>
      </c>
      <c r="E50" t="s">
        <v>24</v>
      </c>
      <c r="F50">
        <v>54</v>
      </c>
    </row>
    <row r="51" spans="1:6" x14ac:dyDescent="0.25">
      <c r="A51" t="s">
        <v>122</v>
      </c>
      <c r="B51" t="s">
        <v>123</v>
      </c>
      <c r="C51" t="s">
        <v>17</v>
      </c>
      <c r="D51" t="s">
        <v>23</v>
      </c>
      <c r="E51" t="s">
        <v>24</v>
      </c>
      <c r="F51">
        <v>27</v>
      </c>
    </row>
    <row r="52" spans="1:6" x14ac:dyDescent="0.25">
      <c r="A52" t="s">
        <v>124</v>
      </c>
      <c r="B52" t="s">
        <v>125</v>
      </c>
      <c r="C52" t="s">
        <v>32</v>
      </c>
      <c r="D52" t="s">
        <v>18</v>
      </c>
      <c r="E52" t="s">
        <v>19</v>
      </c>
      <c r="F52">
        <v>27</v>
      </c>
    </row>
    <row r="53" spans="1:6" x14ac:dyDescent="0.25">
      <c r="A53" t="s">
        <v>126</v>
      </c>
      <c r="B53" t="s">
        <v>127</v>
      </c>
      <c r="C53" t="s">
        <v>17</v>
      </c>
      <c r="D53" t="s">
        <v>23</v>
      </c>
      <c r="E53" t="s">
        <v>24</v>
      </c>
      <c r="F53">
        <v>36</v>
      </c>
    </row>
    <row r="54" spans="1:6" x14ac:dyDescent="0.25">
      <c r="A54" t="s">
        <v>128</v>
      </c>
      <c r="B54" t="s">
        <v>129</v>
      </c>
      <c r="C54" t="s">
        <v>17</v>
      </c>
      <c r="D54" t="s">
        <v>23</v>
      </c>
      <c r="E54" t="s">
        <v>19</v>
      </c>
      <c r="F54">
        <v>34</v>
      </c>
    </row>
    <row r="55" spans="1:6" x14ac:dyDescent="0.25">
      <c r="A55" t="s">
        <v>130</v>
      </c>
      <c r="B55" t="s">
        <v>131</v>
      </c>
      <c r="C55" t="s">
        <v>17</v>
      </c>
      <c r="D55" t="s">
        <v>18</v>
      </c>
      <c r="E55" t="s">
        <v>24</v>
      </c>
      <c r="F55">
        <v>38</v>
      </c>
    </row>
    <row r="56" spans="1:6" x14ac:dyDescent="0.25">
      <c r="A56" t="s">
        <v>132</v>
      </c>
      <c r="B56" t="s">
        <v>133</v>
      </c>
      <c r="C56" t="s">
        <v>22</v>
      </c>
      <c r="D56" t="s">
        <v>23</v>
      </c>
      <c r="E56" t="s">
        <v>19</v>
      </c>
      <c r="F56">
        <v>31</v>
      </c>
    </row>
    <row r="57" spans="1:6" x14ac:dyDescent="0.25">
      <c r="A57" t="s">
        <v>134</v>
      </c>
      <c r="B57" t="s">
        <v>135</v>
      </c>
      <c r="C57" t="s">
        <v>32</v>
      </c>
      <c r="D57" t="s">
        <v>23</v>
      </c>
      <c r="E57" t="s">
        <v>24</v>
      </c>
      <c r="F57">
        <v>26</v>
      </c>
    </row>
    <row r="58" spans="1:6" x14ac:dyDescent="0.25">
      <c r="A58" t="s">
        <v>136</v>
      </c>
      <c r="B58" t="s">
        <v>137</v>
      </c>
      <c r="C58" t="s">
        <v>37</v>
      </c>
      <c r="D58" t="s">
        <v>18</v>
      </c>
      <c r="E58" t="s">
        <v>24</v>
      </c>
      <c r="F58">
        <v>63</v>
      </c>
    </row>
    <row r="59" spans="1:6" x14ac:dyDescent="0.25">
      <c r="A59" t="s">
        <v>138</v>
      </c>
      <c r="B59" t="s">
        <v>139</v>
      </c>
      <c r="C59" t="s">
        <v>17</v>
      </c>
      <c r="D59" t="s">
        <v>23</v>
      </c>
      <c r="E59" t="s">
        <v>19</v>
      </c>
      <c r="F59">
        <v>18</v>
      </c>
    </row>
    <row r="60" spans="1:6" x14ac:dyDescent="0.25">
      <c r="A60" t="s">
        <v>140</v>
      </c>
      <c r="B60" t="s">
        <v>141</v>
      </c>
      <c r="C60" t="s">
        <v>32</v>
      </c>
      <c r="D60" t="s">
        <v>23</v>
      </c>
      <c r="E60" t="s">
        <v>19</v>
      </c>
      <c r="F60">
        <v>62</v>
      </c>
    </row>
    <row r="61" spans="1:6" x14ac:dyDescent="0.25">
      <c r="A61" t="s">
        <v>142</v>
      </c>
      <c r="B61" t="s">
        <v>143</v>
      </c>
      <c r="C61" t="s">
        <v>32</v>
      </c>
      <c r="D61" t="s">
        <v>23</v>
      </c>
      <c r="E61" t="s">
        <v>19</v>
      </c>
      <c r="F61">
        <v>30</v>
      </c>
    </row>
    <row r="62" spans="1:6" x14ac:dyDescent="0.25">
      <c r="A62" t="s">
        <v>144</v>
      </c>
      <c r="B62" t="s">
        <v>145</v>
      </c>
      <c r="C62" t="s">
        <v>37</v>
      </c>
      <c r="D62" t="s">
        <v>18</v>
      </c>
      <c r="E62" t="s">
        <v>19</v>
      </c>
      <c r="F62">
        <v>21</v>
      </c>
    </row>
    <row r="63" spans="1:6" x14ac:dyDescent="0.25">
      <c r="A63" t="s">
        <v>146</v>
      </c>
      <c r="B63" t="s">
        <v>147</v>
      </c>
      <c r="C63" t="s">
        <v>32</v>
      </c>
      <c r="D63" t="s">
        <v>23</v>
      </c>
      <c r="E63" t="s">
        <v>19</v>
      </c>
      <c r="F63">
        <v>18</v>
      </c>
    </row>
    <row r="64" spans="1:6" x14ac:dyDescent="0.25">
      <c r="A64" t="s">
        <v>148</v>
      </c>
      <c r="B64" t="s">
        <v>149</v>
      </c>
      <c r="C64" t="s">
        <v>17</v>
      </c>
      <c r="D64" t="s">
        <v>29</v>
      </c>
      <c r="E64" t="s">
        <v>19</v>
      </c>
      <c r="F64">
        <v>57</v>
      </c>
    </row>
    <row r="65" spans="1:6" x14ac:dyDescent="0.25">
      <c r="A65" t="s">
        <v>150</v>
      </c>
      <c r="B65" t="s">
        <v>151</v>
      </c>
      <c r="C65" t="s">
        <v>32</v>
      </c>
      <c r="D65" t="s">
        <v>23</v>
      </c>
      <c r="E65" t="s">
        <v>19</v>
      </c>
      <c r="F65">
        <v>49</v>
      </c>
    </row>
    <row r="66" spans="1:6" x14ac:dyDescent="0.25">
      <c r="A66" t="s">
        <v>152</v>
      </c>
      <c r="B66" t="s">
        <v>153</v>
      </c>
      <c r="C66" t="s">
        <v>22</v>
      </c>
      <c r="D66" t="s">
        <v>23</v>
      </c>
      <c r="E66" t="s">
        <v>19</v>
      </c>
      <c r="F66">
        <v>51</v>
      </c>
    </row>
    <row r="67" spans="1:6" x14ac:dyDescent="0.25">
      <c r="A67" t="s">
        <v>154</v>
      </c>
      <c r="B67" t="s">
        <v>155</v>
      </c>
      <c r="C67" t="s">
        <v>37</v>
      </c>
      <c r="D67" t="s">
        <v>18</v>
      </c>
      <c r="E67" t="s">
        <v>24</v>
      </c>
      <c r="F67">
        <v>45</v>
      </c>
    </row>
    <row r="68" spans="1:6" x14ac:dyDescent="0.25">
      <c r="A68" t="s">
        <v>156</v>
      </c>
      <c r="B68" t="s">
        <v>57</v>
      </c>
      <c r="C68" t="s">
        <v>22</v>
      </c>
      <c r="D68" t="s">
        <v>29</v>
      </c>
      <c r="E68" t="s">
        <v>24</v>
      </c>
      <c r="F68">
        <v>48</v>
      </c>
    </row>
    <row r="69" spans="1:6" x14ac:dyDescent="0.25">
      <c r="A69" t="s">
        <v>157</v>
      </c>
      <c r="B69" t="s">
        <v>158</v>
      </c>
      <c r="C69" t="s">
        <v>32</v>
      </c>
      <c r="D69" t="s">
        <v>18</v>
      </c>
      <c r="E69" t="s">
        <v>19</v>
      </c>
      <c r="F69">
        <v>25</v>
      </c>
    </row>
    <row r="70" spans="1:6" x14ac:dyDescent="0.25">
      <c r="A70" t="s">
        <v>159</v>
      </c>
      <c r="B70" t="s">
        <v>160</v>
      </c>
      <c r="C70" t="s">
        <v>17</v>
      </c>
      <c r="D70" t="s">
        <v>23</v>
      </c>
      <c r="E70" t="s">
        <v>24</v>
      </c>
      <c r="F70">
        <v>56</v>
      </c>
    </row>
    <row r="71" spans="1:6" x14ac:dyDescent="0.25">
      <c r="A71" t="s">
        <v>161</v>
      </c>
      <c r="B71" t="s">
        <v>162</v>
      </c>
      <c r="C71" t="s">
        <v>22</v>
      </c>
      <c r="D71" t="s">
        <v>29</v>
      </c>
      <c r="E71" t="s">
        <v>24</v>
      </c>
      <c r="F71">
        <v>43</v>
      </c>
    </row>
    <row r="72" spans="1:6" x14ac:dyDescent="0.25">
      <c r="A72" t="s">
        <v>163</v>
      </c>
      <c r="B72" t="s">
        <v>164</v>
      </c>
      <c r="C72" t="s">
        <v>37</v>
      </c>
      <c r="D72" t="s">
        <v>18</v>
      </c>
      <c r="E72" t="s">
        <v>24</v>
      </c>
      <c r="F72">
        <v>51</v>
      </c>
    </row>
    <row r="73" spans="1:6" x14ac:dyDescent="0.25">
      <c r="A73" t="s">
        <v>165</v>
      </c>
      <c r="B73" t="s">
        <v>166</v>
      </c>
      <c r="C73" t="s">
        <v>32</v>
      </c>
      <c r="D73" t="s">
        <v>23</v>
      </c>
      <c r="E73" t="s">
        <v>24</v>
      </c>
      <c r="F73">
        <v>20</v>
      </c>
    </row>
    <row r="74" spans="1:6" x14ac:dyDescent="0.25">
      <c r="A74" t="s">
        <v>167</v>
      </c>
      <c r="B74" t="s">
        <v>168</v>
      </c>
      <c r="C74" t="s">
        <v>22</v>
      </c>
      <c r="D74" t="s">
        <v>23</v>
      </c>
      <c r="E74" t="s">
        <v>19</v>
      </c>
      <c r="F74">
        <v>29</v>
      </c>
    </row>
    <row r="75" spans="1:6" x14ac:dyDescent="0.25">
      <c r="A75" t="s">
        <v>169</v>
      </c>
      <c r="B75" t="s">
        <v>170</v>
      </c>
      <c r="C75" t="s">
        <v>37</v>
      </c>
      <c r="D75" t="s">
        <v>18</v>
      </c>
      <c r="E75" t="s">
        <v>24</v>
      </c>
      <c r="F75">
        <v>18</v>
      </c>
    </row>
    <row r="76" spans="1:6" x14ac:dyDescent="0.25">
      <c r="A76" t="s">
        <v>171</v>
      </c>
      <c r="B76" t="s">
        <v>172</v>
      </c>
      <c r="C76" t="s">
        <v>37</v>
      </c>
      <c r="D76" t="s">
        <v>23</v>
      </c>
      <c r="E76" t="s">
        <v>19</v>
      </c>
      <c r="F76">
        <v>61</v>
      </c>
    </row>
    <row r="77" spans="1:6" x14ac:dyDescent="0.25">
      <c r="A77" t="s">
        <v>173</v>
      </c>
      <c r="B77" t="s">
        <v>174</v>
      </c>
      <c r="C77" t="s">
        <v>22</v>
      </c>
      <c r="D77" t="s">
        <v>29</v>
      </c>
      <c r="E77" t="s">
        <v>24</v>
      </c>
      <c r="F77">
        <v>22</v>
      </c>
    </row>
    <row r="78" spans="1:6" x14ac:dyDescent="0.25">
      <c r="A78" t="s">
        <v>175</v>
      </c>
      <c r="B78" t="s">
        <v>176</v>
      </c>
      <c r="C78" t="s">
        <v>32</v>
      </c>
      <c r="D78" t="s">
        <v>18</v>
      </c>
      <c r="E78" t="s">
        <v>24</v>
      </c>
      <c r="F78">
        <v>47</v>
      </c>
    </row>
    <row r="79" spans="1:6" x14ac:dyDescent="0.25">
      <c r="A79" t="s">
        <v>177</v>
      </c>
      <c r="B79" t="s">
        <v>145</v>
      </c>
      <c r="C79" t="s">
        <v>22</v>
      </c>
      <c r="D79" t="s">
        <v>23</v>
      </c>
      <c r="E79" t="s">
        <v>24</v>
      </c>
      <c r="F79">
        <v>47</v>
      </c>
    </row>
    <row r="80" spans="1:6" x14ac:dyDescent="0.25">
      <c r="A80" t="s">
        <v>178</v>
      </c>
      <c r="B80" t="s">
        <v>179</v>
      </c>
      <c r="C80" t="s">
        <v>32</v>
      </c>
      <c r="D80" t="s">
        <v>23</v>
      </c>
      <c r="E80" t="s">
        <v>19</v>
      </c>
      <c r="F80">
        <v>34</v>
      </c>
    </row>
    <row r="81" spans="1:6" x14ac:dyDescent="0.25">
      <c r="A81" t="s">
        <v>180</v>
      </c>
      <c r="B81" t="s">
        <v>181</v>
      </c>
      <c r="C81" t="s">
        <v>22</v>
      </c>
      <c r="D81" t="s">
        <v>23</v>
      </c>
      <c r="E81" t="s">
        <v>24</v>
      </c>
      <c r="F81">
        <v>64</v>
      </c>
    </row>
    <row r="82" spans="1:6" x14ac:dyDescent="0.25">
      <c r="A82" t="s">
        <v>182</v>
      </c>
      <c r="B82" t="s">
        <v>183</v>
      </c>
      <c r="C82" t="s">
        <v>17</v>
      </c>
      <c r="D82" t="s">
        <v>23</v>
      </c>
      <c r="E82" t="s">
        <v>19</v>
      </c>
      <c r="F82">
        <v>40</v>
      </c>
    </row>
    <row r="83" spans="1:6" x14ac:dyDescent="0.25">
      <c r="A83" t="s">
        <v>184</v>
      </c>
      <c r="B83" t="s">
        <v>185</v>
      </c>
      <c r="C83" t="s">
        <v>37</v>
      </c>
      <c r="D83" t="s">
        <v>23</v>
      </c>
      <c r="E83" t="s">
        <v>24</v>
      </c>
      <c r="F83">
        <v>32</v>
      </c>
    </row>
    <row r="84" spans="1:6" x14ac:dyDescent="0.25">
      <c r="A84" t="s">
        <v>186</v>
      </c>
      <c r="B84" t="s">
        <v>51</v>
      </c>
      <c r="C84" t="s">
        <v>37</v>
      </c>
      <c r="D84" t="s">
        <v>29</v>
      </c>
      <c r="E84" t="s">
        <v>19</v>
      </c>
      <c r="F84">
        <v>54</v>
      </c>
    </row>
    <row r="85" spans="1:6" x14ac:dyDescent="0.25">
      <c r="A85" t="s">
        <v>187</v>
      </c>
      <c r="B85" t="s">
        <v>188</v>
      </c>
      <c r="C85" t="s">
        <v>37</v>
      </c>
      <c r="D85" t="s">
        <v>23</v>
      </c>
      <c r="E85" t="s">
        <v>24</v>
      </c>
      <c r="F85">
        <v>38</v>
      </c>
    </row>
    <row r="86" spans="1:6" x14ac:dyDescent="0.25">
      <c r="A86" t="s">
        <v>189</v>
      </c>
      <c r="B86" t="s">
        <v>190</v>
      </c>
      <c r="C86" t="s">
        <v>37</v>
      </c>
      <c r="D86" t="s">
        <v>29</v>
      </c>
      <c r="E86" t="s">
        <v>19</v>
      </c>
      <c r="F86">
        <v>31</v>
      </c>
    </row>
    <row r="87" spans="1:6" x14ac:dyDescent="0.25">
      <c r="A87" t="s">
        <v>191</v>
      </c>
      <c r="B87" t="s">
        <v>192</v>
      </c>
      <c r="C87" t="s">
        <v>32</v>
      </c>
      <c r="D87" t="s">
        <v>23</v>
      </c>
      <c r="E87" t="s">
        <v>19</v>
      </c>
      <c r="F87">
        <v>19</v>
      </c>
    </row>
    <row r="88" spans="1:6" x14ac:dyDescent="0.25">
      <c r="A88" t="s">
        <v>193</v>
      </c>
      <c r="B88" t="s">
        <v>194</v>
      </c>
      <c r="C88" t="s">
        <v>32</v>
      </c>
      <c r="D88" t="s">
        <v>23</v>
      </c>
      <c r="E88" t="s">
        <v>24</v>
      </c>
      <c r="F88">
        <v>28</v>
      </c>
    </row>
    <row r="89" spans="1:6" x14ac:dyDescent="0.25">
      <c r="A89" t="s">
        <v>195</v>
      </c>
      <c r="B89" t="s">
        <v>196</v>
      </c>
      <c r="C89" t="s">
        <v>32</v>
      </c>
      <c r="D89" t="s">
        <v>23</v>
      </c>
      <c r="E89" t="s">
        <v>19</v>
      </c>
      <c r="F89">
        <v>56</v>
      </c>
    </row>
    <row r="90" spans="1:6" x14ac:dyDescent="0.25">
      <c r="A90" t="s">
        <v>197</v>
      </c>
      <c r="B90" t="s">
        <v>198</v>
      </c>
      <c r="C90" t="s">
        <v>22</v>
      </c>
      <c r="D90" t="s">
        <v>29</v>
      </c>
      <c r="E90" t="s">
        <v>24</v>
      </c>
      <c r="F90">
        <v>55</v>
      </c>
    </row>
    <row r="91" spans="1:6" x14ac:dyDescent="0.25">
      <c r="A91" t="s">
        <v>199</v>
      </c>
      <c r="B91" t="s">
        <v>200</v>
      </c>
      <c r="C91" t="s">
        <v>22</v>
      </c>
      <c r="D91" t="s">
        <v>23</v>
      </c>
      <c r="E91" t="s">
        <v>24</v>
      </c>
      <c r="F91">
        <v>51</v>
      </c>
    </row>
    <row r="92" spans="1:6" x14ac:dyDescent="0.25">
      <c r="A92" t="s">
        <v>201</v>
      </c>
      <c r="B92" t="s">
        <v>202</v>
      </c>
      <c r="C92" t="s">
        <v>17</v>
      </c>
      <c r="D92" t="s">
        <v>23</v>
      </c>
      <c r="E92" t="s">
        <v>24</v>
      </c>
      <c r="F92">
        <v>55</v>
      </c>
    </row>
    <row r="93" spans="1:6" x14ac:dyDescent="0.25">
      <c r="A93" t="s">
        <v>203</v>
      </c>
      <c r="B93" t="s">
        <v>204</v>
      </c>
      <c r="C93" t="s">
        <v>32</v>
      </c>
      <c r="D93" t="s">
        <v>18</v>
      </c>
      <c r="E93" t="s">
        <v>24</v>
      </c>
      <c r="F93">
        <v>51</v>
      </c>
    </row>
    <row r="94" spans="1:6" x14ac:dyDescent="0.25">
      <c r="A94" t="s">
        <v>205</v>
      </c>
      <c r="B94" t="s">
        <v>206</v>
      </c>
      <c r="C94" t="s">
        <v>22</v>
      </c>
      <c r="D94" t="s">
        <v>29</v>
      </c>
      <c r="E94" t="s">
        <v>24</v>
      </c>
      <c r="F94">
        <v>35</v>
      </c>
    </row>
    <row r="95" spans="1:6" x14ac:dyDescent="0.25">
      <c r="A95" t="s">
        <v>207</v>
      </c>
      <c r="B95" t="s">
        <v>208</v>
      </c>
      <c r="C95" t="s">
        <v>17</v>
      </c>
      <c r="D95" t="s">
        <v>23</v>
      </c>
      <c r="E95" t="s">
        <v>24</v>
      </c>
      <c r="F95">
        <v>47</v>
      </c>
    </row>
    <row r="96" spans="1:6" x14ac:dyDescent="0.25">
      <c r="A96" t="s">
        <v>209</v>
      </c>
      <c r="B96" t="s">
        <v>210</v>
      </c>
      <c r="C96" t="s">
        <v>32</v>
      </c>
      <c r="D96" t="s">
        <v>18</v>
      </c>
      <c r="E96" t="s">
        <v>24</v>
      </c>
      <c r="F96">
        <v>32</v>
      </c>
    </row>
    <row r="97" spans="1:6" x14ac:dyDescent="0.25">
      <c r="A97" t="s">
        <v>211</v>
      </c>
      <c r="B97" t="s">
        <v>212</v>
      </c>
      <c r="C97" t="s">
        <v>22</v>
      </c>
      <c r="D97" t="s">
        <v>23</v>
      </c>
      <c r="E97" t="s">
        <v>24</v>
      </c>
      <c r="F97">
        <v>44</v>
      </c>
    </row>
    <row r="98" spans="1:6" x14ac:dyDescent="0.25">
      <c r="A98" t="s">
        <v>213</v>
      </c>
      <c r="B98" t="s">
        <v>214</v>
      </c>
      <c r="C98" t="s">
        <v>17</v>
      </c>
      <c r="D98" t="s">
        <v>23</v>
      </c>
      <c r="E98" t="s">
        <v>24</v>
      </c>
      <c r="F98">
        <v>51</v>
      </c>
    </row>
    <row r="99" spans="1:6" x14ac:dyDescent="0.25">
      <c r="A99" t="s">
        <v>215</v>
      </c>
      <c r="B99" t="s">
        <v>216</v>
      </c>
      <c r="C99" t="s">
        <v>37</v>
      </c>
      <c r="D99" t="s">
        <v>23</v>
      </c>
      <c r="E99" t="s">
        <v>24</v>
      </c>
      <c r="F99">
        <v>55</v>
      </c>
    </row>
    <row r="100" spans="1:6" x14ac:dyDescent="0.25">
      <c r="A100" t="s">
        <v>217</v>
      </c>
      <c r="B100" t="s">
        <v>218</v>
      </c>
      <c r="C100" t="s">
        <v>37</v>
      </c>
      <c r="D100" t="s">
        <v>23</v>
      </c>
      <c r="E100" t="s">
        <v>24</v>
      </c>
      <c r="F100">
        <v>50</v>
      </c>
    </row>
    <row r="101" spans="1:6" x14ac:dyDescent="0.25">
      <c r="A101" t="s">
        <v>219</v>
      </c>
      <c r="B101" t="s">
        <v>220</v>
      </c>
      <c r="C101" t="s">
        <v>17</v>
      </c>
      <c r="D101" t="s">
        <v>23</v>
      </c>
      <c r="E101" t="s">
        <v>19</v>
      </c>
      <c r="F101">
        <v>41</v>
      </c>
    </row>
    <row r="102" spans="1:6" x14ac:dyDescent="0.25">
      <c r="A102" t="s">
        <v>221</v>
      </c>
      <c r="B102" t="s">
        <v>222</v>
      </c>
      <c r="C102" t="s">
        <v>17</v>
      </c>
      <c r="D102" t="s">
        <v>29</v>
      </c>
      <c r="E102" t="s">
        <v>19</v>
      </c>
      <c r="F102">
        <v>32</v>
      </c>
    </row>
    <row r="103" spans="1:6" x14ac:dyDescent="0.25">
      <c r="A103" t="s">
        <v>223</v>
      </c>
      <c r="B103" t="s">
        <v>204</v>
      </c>
      <c r="C103" t="s">
        <v>22</v>
      </c>
      <c r="D103" t="s">
        <v>23</v>
      </c>
      <c r="E103" t="s">
        <v>24</v>
      </c>
      <c r="F103">
        <v>47</v>
      </c>
    </row>
    <row r="104" spans="1:6" x14ac:dyDescent="0.25">
      <c r="A104" t="s">
        <v>224</v>
      </c>
      <c r="B104" t="s">
        <v>225</v>
      </c>
      <c r="C104" t="s">
        <v>37</v>
      </c>
      <c r="D104" t="s">
        <v>18</v>
      </c>
      <c r="E104" t="s">
        <v>24</v>
      </c>
      <c r="F104">
        <v>59</v>
      </c>
    </row>
    <row r="105" spans="1:6" x14ac:dyDescent="0.25">
      <c r="A105" t="s">
        <v>226</v>
      </c>
      <c r="B105" t="s">
        <v>227</v>
      </c>
      <c r="C105" t="s">
        <v>37</v>
      </c>
      <c r="D105" t="s">
        <v>18</v>
      </c>
      <c r="E105" t="s">
        <v>24</v>
      </c>
      <c r="F105">
        <v>34</v>
      </c>
    </row>
    <row r="106" spans="1:6" x14ac:dyDescent="0.25">
      <c r="A106" t="s">
        <v>228</v>
      </c>
      <c r="B106" t="s">
        <v>135</v>
      </c>
      <c r="C106" t="s">
        <v>17</v>
      </c>
      <c r="D106" t="s">
        <v>29</v>
      </c>
      <c r="E106" t="s">
        <v>24</v>
      </c>
      <c r="F106">
        <v>22</v>
      </c>
    </row>
    <row r="107" spans="1:6" x14ac:dyDescent="0.25">
      <c r="A107" t="s">
        <v>229</v>
      </c>
      <c r="B107" t="s">
        <v>230</v>
      </c>
      <c r="C107" t="s">
        <v>32</v>
      </c>
      <c r="D107" t="s">
        <v>29</v>
      </c>
      <c r="E107" t="s">
        <v>24</v>
      </c>
      <c r="F107">
        <v>46</v>
      </c>
    </row>
    <row r="108" spans="1:6" x14ac:dyDescent="0.25">
      <c r="A108" t="s">
        <v>231</v>
      </c>
      <c r="B108" t="s">
        <v>232</v>
      </c>
      <c r="C108" t="s">
        <v>17</v>
      </c>
      <c r="D108" t="s">
        <v>29</v>
      </c>
      <c r="E108" t="s">
        <v>24</v>
      </c>
      <c r="F108">
        <v>21</v>
      </c>
    </row>
    <row r="109" spans="1:6" x14ac:dyDescent="0.25">
      <c r="A109" t="s">
        <v>233</v>
      </c>
      <c r="B109" t="s">
        <v>234</v>
      </c>
      <c r="C109" t="s">
        <v>22</v>
      </c>
      <c r="D109" t="s">
        <v>18</v>
      </c>
      <c r="E109" t="s">
        <v>24</v>
      </c>
      <c r="F109">
        <v>27</v>
      </c>
    </row>
    <row r="110" spans="1:6" x14ac:dyDescent="0.25">
      <c r="A110" t="s">
        <v>235</v>
      </c>
      <c r="B110" t="s">
        <v>236</v>
      </c>
      <c r="C110" t="s">
        <v>37</v>
      </c>
      <c r="D110" t="s">
        <v>23</v>
      </c>
      <c r="E110" t="s">
        <v>24</v>
      </c>
      <c r="F110">
        <v>34</v>
      </c>
    </row>
    <row r="111" spans="1:6" x14ac:dyDescent="0.25">
      <c r="A111" t="s">
        <v>237</v>
      </c>
      <c r="B111" t="s">
        <v>238</v>
      </c>
      <c r="C111" t="s">
        <v>17</v>
      </c>
      <c r="D111" t="s">
        <v>23</v>
      </c>
      <c r="E111" t="s">
        <v>19</v>
      </c>
      <c r="F111">
        <v>27</v>
      </c>
    </row>
    <row r="112" spans="1:6" x14ac:dyDescent="0.25">
      <c r="A112" t="s">
        <v>239</v>
      </c>
      <c r="B112" t="s">
        <v>240</v>
      </c>
      <c r="C112" t="s">
        <v>17</v>
      </c>
      <c r="D112" t="s">
        <v>29</v>
      </c>
      <c r="E112" t="s">
        <v>24</v>
      </c>
      <c r="F112">
        <v>34</v>
      </c>
    </row>
    <row r="113" spans="1:6" x14ac:dyDescent="0.25">
      <c r="A113" t="s">
        <v>241</v>
      </c>
      <c r="B113" t="s">
        <v>242</v>
      </c>
      <c r="C113" t="s">
        <v>22</v>
      </c>
      <c r="D113" t="s">
        <v>29</v>
      </c>
      <c r="E113" t="s">
        <v>19</v>
      </c>
      <c r="F113">
        <v>37</v>
      </c>
    </row>
    <row r="114" spans="1:6" x14ac:dyDescent="0.25">
      <c r="A114" t="s">
        <v>243</v>
      </c>
      <c r="B114" t="s">
        <v>244</v>
      </c>
      <c r="C114" t="s">
        <v>32</v>
      </c>
      <c r="D114" t="s">
        <v>23</v>
      </c>
      <c r="E114" t="s">
        <v>24</v>
      </c>
      <c r="F114">
        <v>41</v>
      </c>
    </row>
    <row r="115" spans="1:6" x14ac:dyDescent="0.25">
      <c r="A115" t="s">
        <v>245</v>
      </c>
      <c r="B115" t="s">
        <v>246</v>
      </c>
      <c r="C115" t="s">
        <v>37</v>
      </c>
      <c r="D115" t="s">
        <v>29</v>
      </c>
      <c r="E115" t="s">
        <v>24</v>
      </c>
      <c r="F115">
        <v>22</v>
      </c>
    </row>
    <row r="116" spans="1:6" x14ac:dyDescent="0.25">
      <c r="A116" t="s">
        <v>247</v>
      </c>
      <c r="B116" t="s">
        <v>248</v>
      </c>
      <c r="C116" t="s">
        <v>37</v>
      </c>
      <c r="D116" t="s">
        <v>23</v>
      </c>
      <c r="E116" t="s">
        <v>19</v>
      </c>
      <c r="F116">
        <v>51</v>
      </c>
    </row>
    <row r="117" spans="1:6" x14ac:dyDescent="0.25">
      <c r="A117" t="s">
        <v>249</v>
      </c>
      <c r="B117" t="s">
        <v>250</v>
      </c>
      <c r="C117" t="s">
        <v>17</v>
      </c>
      <c r="D117" t="s">
        <v>18</v>
      </c>
      <c r="E117" t="s">
        <v>24</v>
      </c>
      <c r="F117">
        <v>23</v>
      </c>
    </row>
    <row r="118" spans="1:6" x14ac:dyDescent="0.25">
      <c r="A118" t="s">
        <v>251</v>
      </c>
      <c r="B118" t="s">
        <v>252</v>
      </c>
      <c r="C118" t="s">
        <v>17</v>
      </c>
      <c r="D118" t="s">
        <v>23</v>
      </c>
      <c r="E118" t="s">
        <v>19</v>
      </c>
      <c r="F118">
        <v>19</v>
      </c>
    </row>
    <row r="119" spans="1:6" x14ac:dyDescent="0.25">
      <c r="A119" t="s">
        <v>253</v>
      </c>
      <c r="B119" t="s">
        <v>254</v>
      </c>
      <c r="C119" t="s">
        <v>37</v>
      </c>
      <c r="D119" t="s">
        <v>23</v>
      </c>
      <c r="E119" t="s">
        <v>24</v>
      </c>
      <c r="F119">
        <v>30</v>
      </c>
    </row>
    <row r="120" spans="1:6" x14ac:dyDescent="0.25">
      <c r="A120" t="s">
        <v>255</v>
      </c>
      <c r="B120" t="s">
        <v>256</v>
      </c>
      <c r="C120" t="s">
        <v>17</v>
      </c>
      <c r="D120" t="s">
        <v>23</v>
      </c>
      <c r="E120" t="s">
        <v>24</v>
      </c>
      <c r="F120">
        <v>60</v>
      </c>
    </row>
    <row r="121" spans="1:6" x14ac:dyDescent="0.25">
      <c r="A121" t="s">
        <v>257</v>
      </c>
      <c r="B121" t="s">
        <v>258</v>
      </c>
      <c r="C121" t="s">
        <v>37</v>
      </c>
      <c r="D121" t="s">
        <v>23</v>
      </c>
      <c r="E121" t="s">
        <v>19</v>
      </c>
      <c r="F121">
        <v>60</v>
      </c>
    </row>
    <row r="122" spans="1:6" x14ac:dyDescent="0.25">
      <c r="A122" t="s">
        <v>259</v>
      </c>
      <c r="B122" t="s">
        <v>260</v>
      </c>
      <c r="C122" t="s">
        <v>32</v>
      </c>
      <c r="D122" t="s">
        <v>23</v>
      </c>
      <c r="E122" t="s">
        <v>24</v>
      </c>
      <c r="F122">
        <v>28</v>
      </c>
    </row>
    <row r="123" spans="1:6" x14ac:dyDescent="0.25">
      <c r="A123" t="s">
        <v>261</v>
      </c>
      <c r="B123" t="s">
        <v>262</v>
      </c>
      <c r="C123" t="s">
        <v>17</v>
      </c>
      <c r="D123" t="s">
        <v>23</v>
      </c>
      <c r="E123" t="s">
        <v>19</v>
      </c>
      <c r="F123">
        <v>64</v>
      </c>
    </row>
    <row r="124" spans="1:6" x14ac:dyDescent="0.25">
      <c r="A124" t="s">
        <v>263</v>
      </c>
      <c r="B124" t="s">
        <v>264</v>
      </c>
      <c r="C124" t="s">
        <v>37</v>
      </c>
      <c r="D124" t="s">
        <v>23</v>
      </c>
      <c r="E124" t="s">
        <v>24</v>
      </c>
      <c r="F124">
        <v>40</v>
      </c>
    </row>
    <row r="125" spans="1:6" x14ac:dyDescent="0.25">
      <c r="A125" t="s">
        <v>265</v>
      </c>
      <c r="B125" t="s">
        <v>266</v>
      </c>
      <c r="C125" t="s">
        <v>17</v>
      </c>
      <c r="D125" t="s">
        <v>23</v>
      </c>
      <c r="E125" t="s">
        <v>19</v>
      </c>
      <c r="F125">
        <v>33</v>
      </c>
    </row>
    <row r="126" spans="1:6" x14ac:dyDescent="0.25">
      <c r="A126" t="s">
        <v>267</v>
      </c>
      <c r="B126" t="s">
        <v>268</v>
      </c>
      <c r="C126" t="s">
        <v>22</v>
      </c>
      <c r="D126" t="s">
        <v>23</v>
      </c>
      <c r="E126" t="s">
        <v>19</v>
      </c>
      <c r="F126">
        <v>48</v>
      </c>
    </row>
    <row r="127" spans="1:6" x14ac:dyDescent="0.25">
      <c r="A127" t="s">
        <v>269</v>
      </c>
      <c r="B127" t="s">
        <v>270</v>
      </c>
      <c r="C127" t="s">
        <v>32</v>
      </c>
      <c r="D127" t="s">
        <v>23</v>
      </c>
      <c r="E127" t="s">
        <v>24</v>
      </c>
      <c r="F127">
        <v>28</v>
      </c>
    </row>
    <row r="128" spans="1:6" x14ac:dyDescent="0.25">
      <c r="A128" t="s">
        <v>271</v>
      </c>
      <c r="B128" t="s">
        <v>272</v>
      </c>
      <c r="C128" t="s">
        <v>22</v>
      </c>
      <c r="D128" t="s">
        <v>23</v>
      </c>
      <c r="E128" t="s">
        <v>24</v>
      </c>
      <c r="F128">
        <v>33</v>
      </c>
    </row>
    <row r="129" spans="1:6" x14ac:dyDescent="0.25">
      <c r="A129" t="s">
        <v>273</v>
      </c>
      <c r="B129" t="s">
        <v>274</v>
      </c>
      <c r="C129" t="s">
        <v>32</v>
      </c>
      <c r="D129" t="s">
        <v>23</v>
      </c>
      <c r="E129" t="s">
        <v>19</v>
      </c>
      <c r="F129">
        <v>25</v>
      </c>
    </row>
    <row r="130" spans="1:6" x14ac:dyDescent="0.25">
      <c r="A130" t="s">
        <v>275</v>
      </c>
      <c r="B130" t="s">
        <v>276</v>
      </c>
      <c r="C130" t="s">
        <v>32</v>
      </c>
      <c r="D130" t="s">
        <v>23</v>
      </c>
      <c r="E130" t="s">
        <v>24</v>
      </c>
      <c r="F130">
        <v>21</v>
      </c>
    </row>
    <row r="131" spans="1:6" x14ac:dyDescent="0.25">
      <c r="A131" t="s">
        <v>277</v>
      </c>
      <c r="B131" t="s">
        <v>278</v>
      </c>
      <c r="C131" t="s">
        <v>37</v>
      </c>
      <c r="D131" t="s">
        <v>23</v>
      </c>
      <c r="E131" t="s">
        <v>24</v>
      </c>
      <c r="F131">
        <v>57</v>
      </c>
    </row>
    <row r="132" spans="1:6" x14ac:dyDescent="0.25">
      <c r="A132" t="s">
        <v>279</v>
      </c>
      <c r="B132" t="s">
        <v>280</v>
      </c>
      <c r="C132" t="s">
        <v>37</v>
      </c>
      <c r="D132" t="s">
        <v>23</v>
      </c>
      <c r="E132" t="s">
        <v>24</v>
      </c>
      <c r="F132">
        <v>21</v>
      </c>
    </row>
    <row r="133" spans="1:6" x14ac:dyDescent="0.25">
      <c r="A133" t="s">
        <v>281</v>
      </c>
      <c r="B133" t="s">
        <v>282</v>
      </c>
      <c r="C133" t="s">
        <v>22</v>
      </c>
      <c r="D133" t="s">
        <v>29</v>
      </c>
      <c r="E133" t="s">
        <v>19</v>
      </c>
      <c r="F133">
        <v>42</v>
      </c>
    </row>
    <row r="134" spans="1:6" x14ac:dyDescent="0.25">
      <c r="A134" t="s">
        <v>283</v>
      </c>
      <c r="B134" t="s">
        <v>284</v>
      </c>
      <c r="C134" t="s">
        <v>17</v>
      </c>
      <c r="D134" t="s">
        <v>18</v>
      </c>
      <c r="E134" t="s">
        <v>19</v>
      </c>
      <c r="F134">
        <v>20</v>
      </c>
    </row>
    <row r="135" spans="1:6" x14ac:dyDescent="0.25">
      <c r="A135" t="s">
        <v>285</v>
      </c>
      <c r="B135" t="s">
        <v>286</v>
      </c>
      <c r="C135" t="s">
        <v>32</v>
      </c>
      <c r="D135" t="s">
        <v>18</v>
      </c>
      <c r="E135" t="s">
        <v>19</v>
      </c>
      <c r="F135">
        <v>49</v>
      </c>
    </row>
    <row r="136" spans="1:6" x14ac:dyDescent="0.25">
      <c r="A136" t="s">
        <v>287</v>
      </c>
      <c r="B136" t="s">
        <v>288</v>
      </c>
      <c r="C136" t="s">
        <v>37</v>
      </c>
      <c r="D136" t="s">
        <v>29</v>
      </c>
      <c r="E136" t="s">
        <v>19</v>
      </c>
      <c r="F136">
        <v>20</v>
      </c>
    </row>
    <row r="137" spans="1:6" x14ac:dyDescent="0.25">
      <c r="A137" t="s">
        <v>289</v>
      </c>
      <c r="B137" t="s">
        <v>290</v>
      </c>
      <c r="C137" t="s">
        <v>22</v>
      </c>
      <c r="D137" t="s">
        <v>29</v>
      </c>
      <c r="E137" t="s">
        <v>19</v>
      </c>
      <c r="F137">
        <v>44</v>
      </c>
    </row>
    <row r="138" spans="1:6" x14ac:dyDescent="0.25">
      <c r="A138" t="s">
        <v>291</v>
      </c>
      <c r="B138" t="s">
        <v>292</v>
      </c>
      <c r="C138" t="s">
        <v>22</v>
      </c>
      <c r="D138" t="s">
        <v>23</v>
      </c>
      <c r="E138" t="s">
        <v>19</v>
      </c>
      <c r="F138">
        <v>46</v>
      </c>
    </row>
    <row r="139" spans="1:6" x14ac:dyDescent="0.25">
      <c r="A139" t="s">
        <v>293</v>
      </c>
      <c r="B139" t="s">
        <v>294</v>
      </c>
      <c r="C139" t="s">
        <v>22</v>
      </c>
      <c r="D139" t="s">
        <v>29</v>
      </c>
      <c r="E139" t="s">
        <v>19</v>
      </c>
      <c r="F139">
        <v>49</v>
      </c>
    </row>
    <row r="140" spans="1:6" x14ac:dyDescent="0.25">
      <c r="A140" t="s">
        <v>295</v>
      </c>
      <c r="B140" t="s">
        <v>296</v>
      </c>
      <c r="C140" t="s">
        <v>17</v>
      </c>
      <c r="D140" t="s">
        <v>29</v>
      </c>
      <c r="E140" t="s">
        <v>19</v>
      </c>
      <c r="F140">
        <v>36</v>
      </c>
    </row>
    <row r="141" spans="1:6" x14ac:dyDescent="0.25">
      <c r="A141" t="s">
        <v>297</v>
      </c>
      <c r="B141" t="s">
        <v>236</v>
      </c>
      <c r="C141" t="s">
        <v>32</v>
      </c>
      <c r="D141" t="s">
        <v>18</v>
      </c>
      <c r="E141" t="s">
        <v>19</v>
      </c>
      <c r="F141">
        <v>38</v>
      </c>
    </row>
    <row r="142" spans="1:6" x14ac:dyDescent="0.25">
      <c r="A142" t="s">
        <v>298</v>
      </c>
      <c r="B142" t="s">
        <v>299</v>
      </c>
      <c r="C142" t="s">
        <v>22</v>
      </c>
      <c r="D142" t="s">
        <v>18</v>
      </c>
      <c r="E142" t="s">
        <v>24</v>
      </c>
      <c r="F142">
        <v>22</v>
      </c>
    </row>
    <row r="143" spans="1:6" x14ac:dyDescent="0.25">
      <c r="A143" t="s">
        <v>300</v>
      </c>
      <c r="B143" t="s">
        <v>301</v>
      </c>
      <c r="C143" t="s">
        <v>37</v>
      </c>
      <c r="D143" t="s">
        <v>23</v>
      </c>
      <c r="E143" t="s">
        <v>19</v>
      </c>
      <c r="F143">
        <v>35</v>
      </c>
    </row>
    <row r="144" spans="1:6" x14ac:dyDescent="0.25">
      <c r="A144" t="s">
        <v>302</v>
      </c>
      <c r="B144" t="s">
        <v>303</v>
      </c>
      <c r="C144" t="s">
        <v>37</v>
      </c>
      <c r="D144" t="s">
        <v>29</v>
      </c>
      <c r="E144" t="s">
        <v>24</v>
      </c>
      <c r="F144">
        <v>45</v>
      </c>
    </row>
    <row r="145" spans="1:6" x14ac:dyDescent="0.25">
      <c r="A145" t="s">
        <v>304</v>
      </c>
      <c r="B145" t="s">
        <v>305</v>
      </c>
      <c r="C145" t="s">
        <v>37</v>
      </c>
      <c r="D145" t="s">
        <v>18</v>
      </c>
      <c r="E145" t="s">
        <v>24</v>
      </c>
      <c r="F145">
        <v>59</v>
      </c>
    </row>
    <row r="146" spans="1:6" x14ac:dyDescent="0.25">
      <c r="A146" t="s">
        <v>306</v>
      </c>
      <c r="B146" t="s">
        <v>137</v>
      </c>
      <c r="C146" t="s">
        <v>22</v>
      </c>
      <c r="D146" t="s">
        <v>23</v>
      </c>
      <c r="E146" t="s">
        <v>24</v>
      </c>
      <c r="F146">
        <v>39</v>
      </c>
    </row>
    <row r="147" spans="1:6" x14ac:dyDescent="0.25">
      <c r="A147" t="s">
        <v>307</v>
      </c>
      <c r="B147" t="s">
        <v>308</v>
      </c>
      <c r="C147" t="s">
        <v>22</v>
      </c>
      <c r="D147" t="s">
        <v>18</v>
      </c>
      <c r="E147" t="s">
        <v>19</v>
      </c>
      <c r="F147">
        <v>38</v>
      </c>
    </row>
    <row r="148" spans="1:6" x14ac:dyDescent="0.25">
      <c r="A148" t="s">
        <v>309</v>
      </c>
      <c r="B148" t="s">
        <v>310</v>
      </c>
      <c r="C148" t="s">
        <v>32</v>
      </c>
      <c r="D148" t="s">
        <v>23</v>
      </c>
      <c r="E148" t="s">
        <v>19</v>
      </c>
      <c r="F148">
        <v>23</v>
      </c>
    </row>
    <row r="149" spans="1:6" x14ac:dyDescent="0.25">
      <c r="A149" t="s">
        <v>311</v>
      </c>
      <c r="B149" t="s">
        <v>312</v>
      </c>
      <c r="C149" t="s">
        <v>37</v>
      </c>
      <c r="D149" t="s">
        <v>18</v>
      </c>
      <c r="E149" t="s">
        <v>19</v>
      </c>
      <c r="F149">
        <v>18</v>
      </c>
    </row>
    <row r="150" spans="1:6" x14ac:dyDescent="0.25">
      <c r="A150" t="s">
        <v>313</v>
      </c>
      <c r="B150" t="s">
        <v>314</v>
      </c>
      <c r="C150" t="s">
        <v>22</v>
      </c>
      <c r="D150" t="s">
        <v>29</v>
      </c>
      <c r="E150" t="s">
        <v>19</v>
      </c>
      <c r="F150">
        <v>22</v>
      </c>
    </row>
    <row r="151" spans="1:6" x14ac:dyDescent="0.25">
      <c r="A151" t="s">
        <v>315</v>
      </c>
      <c r="B151" t="s">
        <v>290</v>
      </c>
      <c r="C151" t="s">
        <v>37</v>
      </c>
      <c r="D151" t="s">
        <v>23</v>
      </c>
      <c r="E151" t="s">
        <v>24</v>
      </c>
      <c r="F151">
        <v>58</v>
      </c>
    </row>
    <row r="152" spans="1:6" x14ac:dyDescent="0.25">
      <c r="A152" t="s">
        <v>316</v>
      </c>
      <c r="B152" t="s">
        <v>317</v>
      </c>
      <c r="C152" t="s">
        <v>17</v>
      </c>
      <c r="D152" t="s">
        <v>29</v>
      </c>
      <c r="E152" t="s">
        <v>19</v>
      </c>
      <c r="F152">
        <v>29</v>
      </c>
    </row>
    <row r="153" spans="1:6" x14ac:dyDescent="0.25">
      <c r="A153" t="s">
        <v>318</v>
      </c>
      <c r="B153" t="s">
        <v>319</v>
      </c>
      <c r="C153" t="s">
        <v>37</v>
      </c>
      <c r="D153" t="s">
        <v>23</v>
      </c>
      <c r="E153" t="s">
        <v>19</v>
      </c>
      <c r="F153">
        <v>43</v>
      </c>
    </row>
    <row r="154" spans="1:6" x14ac:dyDescent="0.25">
      <c r="A154" t="s">
        <v>320</v>
      </c>
      <c r="B154" t="s">
        <v>321</v>
      </c>
      <c r="C154" t="s">
        <v>17</v>
      </c>
      <c r="D154" t="s">
        <v>29</v>
      </c>
      <c r="E154" t="s">
        <v>19</v>
      </c>
      <c r="F154">
        <v>63</v>
      </c>
    </row>
    <row r="155" spans="1:6" x14ac:dyDescent="0.25">
      <c r="A155" t="s">
        <v>322</v>
      </c>
      <c r="B155" t="s">
        <v>323</v>
      </c>
      <c r="C155" t="s">
        <v>17</v>
      </c>
      <c r="D155" t="s">
        <v>29</v>
      </c>
      <c r="E155" t="s">
        <v>19</v>
      </c>
      <c r="F155">
        <v>51</v>
      </c>
    </row>
    <row r="156" spans="1:6" x14ac:dyDescent="0.25">
      <c r="A156" t="s">
        <v>324</v>
      </c>
      <c r="B156" t="s">
        <v>325</v>
      </c>
      <c r="C156" t="s">
        <v>32</v>
      </c>
      <c r="D156" t="s">
        <v>29</v>
      </c>
      <c r="E156" t="s">
        <v>19</v>
      </c>
      <c r="F156">
        <v>31</v>
      </c>
    </row>
    <row r="157" spans="1:6" x14ac:dyDescent="0.25">
      <c r="A157" t="s">
        <v>326</v>
      </c>
      <c r="B157" t="s">
        <v>327</v>
      </c>
      <c r="C157" t="s">
        <v>17</v>
      </c>
      <c r="D157" t="s">
        <v>18</v>
      </c>
      <c r="E157" t="s">
        <v>24</v>
      </c>
      <c r="F157">
        <v>43</v>
      </c>
    </row>
    <row r="158" spans="1:6" x14ac:dyDescent="0.25">
      <c r="A158" t="s">
        <v>328</v>
      </c>
      <c r="B158" t="s">
        <v>329</v>
      </c>
      <c r="C158" t="s">
        <v>17</v>
      </c>
      <c r="D158" t="s">
        <v>23</v>
      </c>
      <c r="E158" t="s">
        <v>19</v>
      </c>
      <c r="F158">
        <v>62</v>
      </c>
    </row>
    <row r="159" spans="1:6" x14ac:dyDescent="0.25">
      <c r="A159" t="s">
        <v>330</v>
      </c>
      <c r="B159" t="s">
        <v>331</v>
      </c>
      <c r="C159" t="s">
        <v>17</v>
      </c>
      <c r="D159" t="s">
        <v>23</v>
      </c>
      <c r="E159" t="s">
        <v>24</v>
      </c>
      <c r="F159">
        <v>44</v>
      </c>
    </row>
    <row r="160" spans="1:6" x14ac:dyDescent="0.25">
      <c r="A160" t="s">
        <v>332</v>
      </c>
      <c r="B160" t="s">
        <v>333</v>
      </c>
      <c r="C160" t="s">
        <v>22</v>
      </c>
      <c r="D160" t="s">
        <v>23</v>
      </c>
      <c r="E160" t="s">
        <v>19</v>
      </c>
      <c r="F160">
        <v>26</v>
      </c>
    </row>
    <row r="161" spans="1:6" x14ac:dyDescent="0.25">
      <c r="A161" t="s">
        <v>334</v>
      </c>
      <c r="B161" t="s">
        <v>335</v>
      </c>
      <c r="C161" t="s">
        <v>32</v>
      </c>
      <c r="D161" t="s">
        <v>23</v>
      </c>
      <c r="E161" t="s">
        <v>24</v>
      </c>
      <c r="F161">
        <v>43</v>
      </c>
    </row>
    <row r="162" spans="1:6" x14ac:dyDescent="0.25">
      <c r="A162" t="s">
        <v>336</v>
      </c>
      <c r="B162" t="s">
        <v>337</v>
      </c>
      <c r="C162" t="s">
        <v>17</v>
      </c>
      <c r="D162" t="s">
        <v>23</v>
      </c>
      <c r="E162" t="s">
        <v>19</v>
      </c>
      <c r="F162">
        <v>64</v>
      </c>
    </row>
    <row r="163" spans="1:6" x14ac:dyDescent="0.25">
      <c r="A163" t="s">
        <v>338</v>
      </c>
      <c r="B163" t="s">
        <v>339</v>
      </c>
      <c r="C163" t="s">
        <v>32</v>
      </c>
      <c r="D163" t="s">
        <v>23</v>
      </c>
      <c r="E163" t="s">
        <v>19</v>
      </c>
      <c r="F163">
        <v>39</v>
      </c>
    </row>
    <row r="164" spans="1:6" x14ac:dyDescent="0.25">
      <c r="A164" t="s">
        <v>340</v>
      </c>
      <c r="B164" t="s">
        <v>341</v>
      </c>
      <c r="C164" t="s">
        <v>37</v>
      </c>
      <c r="D164" t="s">
        <v>23</v>
      </c>
      <c r="E164" t="s">
        <v>24</v>
      </c>
      <c r="F164">
        <v>64</v>
      </c>
    </row>
    <row r="165" spans="1:6" x14ac:dyDescent="0.25">
      <c r="A165" t="s">
        <v>342</v>
      </c>
      <c r="B165" t="s">
        <v>343</v>
      </c>
      <c r="C165" t="s">
        <v>17</v>
      </c>
      <c r="D165" t="s">
        <v>23</v>
      </c>
      <c r="E165" t="s">
        <v>24</v>
      </c>
      <c r="F165">
        <v>47</v>
      </c>
    </row>
    <row r="166" spans="1:6" x14ac:dyDescent="0.25">
      <c r="A166" t="s">
        <v>344</v>
      </c>
      <c r="B166" t="s">
        <v>345</v>
      </c>
      <c r="C166" t="s">
        <v>17</v>
      </c>
      <c r="D166" t="s">
        <v>18</v>
      </c>
      <c r="E166" t="s">
        <v>24</v>
      </c>
      <c r="F166">
        <v>60</v>
      </c>
    </row>
    <row r="167" spans="1:6" x14ac:dyDescent="0.25">
      <c r="A167" t="s">
        <v>346</v>
      </c>
      <c r="B167" t="s">
        <v>347</v>
      </c>
      <c r="C167" t="s">
        <v>37</v>
      </c>
      <c r="D167" t="s">
        <v>23</v>
      </c>
      <c r="E167" t="s">
        <v>19</v>
      </c>
      <c r="F167">
        <v>34</v>
      </c>
    </row>
    <row r="168" spans="1:6" x14ac:dyDescent="0.25">
      <c r="A168" t="s">
        <v>348</v>
      </c>
      <c r="B168" t="s">
        <v>349</v>
      </c>
      <c r="C168" t="s">
        <v>37</v>
      </c>
      <c r="D168" t="s">
        <v>18</v>
      </c>
      <c r="E168" t="s">
        <v>24</v>
      </c>
      <c r="F168">
        <v>43</v>
      </c>
    </row>
    <row r="169" spans="1:6" x14ac:dyDescent="0.25">
      <c r="A169" t="s">
        <v>350</v>
      </c>
      <c r="B169" t="s">
        <v>351</v>
      </c>
      <c r="C169" t="s">
        <v>32</v>
      </c>
      <c r="D169" t="s">
        <v>23</v>
      </c>
      <c r="E169" t="s">
        <v>19</v>
      </c>
      <c r="F169">
        <v>53</v>
      </c>
    </row>
    <row r="170" spans="1:6" x14ac:dyDescent="0.25">
      <c r="A170" t="s">
        <v>352</v>
      </c>
      <c r="B170" t="s">
        <v>353</v>
      </c>
      <c r="C170" t="s">
        <v>37</v>
      </c>
      <c r="D170" t="s">
        <v>23</v>
      </c>
      <c r="E170" t="s">
        <v>19</v>
      </c>
      <c r="F170">
        <v>18</v>
      </c>
    </row>
    <row r="171" spans="1:6" x14ac:dyDescent="0.25">
      <c r="A171" t="s">
        <v>354</v>
      </c>
      <c r="B171" t="s">
        <v>355</v>
      </c>
      <c r="C171" t="s">
        <v>17</v>
      </c>
      <c r="D171" t="s">
        <v>29</v>
      </c>
      <c r="E171" t="s">
        <v>24</v>
      </c>
      <c r="F171">
        <v>25</v>
      </c>
    </row>
    <row r="172" spans="1:6" x14ac:dyDescent="0.25">
      <c r="A172" t="s">
        <v>356</v>
      </c>
      <c r="B172" t="s">
        <v>357</v>
      </c>
      <c r="C172" t="s">
        <v>22</v>
      </c>
      <c r="D172" t="s">
        <v>23</v>
      </c>
      <c r="E172" t="s">
        <v>24</v>
      </c>
      <c r="F172">
        <v>52</v>
      </c>
    </row>
    <row r="173" spans="1:6" x14ac:dyDescent="0.25">
      <c r="A173" t="s">
        <v>358</v>
      </c>
      <c r="B173" t="s">
        <v>359</v>
      </c>
      <c r="C173" t="s">
        <v>32</v>
      </c>
      <c r="D173" t="s">
        <v>23</v>
      </c>
      <c r="E173" t="s">
        <v>19</v>
      </c>
      <c r="F173">
        <v>32</v>
      </c>
    </row>
    <row r="174" spans="1:6" x14ac:dyDescent="0.25">
      <c r="A174" t="s">
        <v>360</v>
      </c>
      <c r="B174" t="s">
        <v>361</v>
      </c>
      <c r="C174" t="s">
        <v>17</v>
      </c>
      <c r="D174" t="s">
        <v>29</v>
      </c>
      <c r="E174" t="s">
        <v>19</v>
      </c>
      <c r="F174">
        <v>64</v>
      </c>
    </row>
    <row r="175" spans="1:6" x14ac:dyDescent="0.25">
      <c r="A175" t="s">
        <v>362</v>
      </c>
      <c r="B175" t="s">
        <v>363</v>
      </c>
      <c r="C175" t="s">
        <v>32</v>
      </c>
      <c r="D175" t="s">
        <v>23</v>
      </c>
      <c r="E175" t="s">
        <v>24</v>
      </c>
      <c r="F175">
        <v>39</v>
      </c>
    </row>
    <row r="176" spans="1:6" x14ac:dyDescent="0.25">
      <c r="A176" t="s">
        <v>364</v>
      </c>
      <c r="B176" t="s">
        <v>365</v>
      </c>
      <c r="C176" t="s">
        <v>22</v>
      </c>
      <c r="D176" t="s">
        <v>23</v>
      </c>
      <c r="E176" t="s">
        <v>24</v>
      </c>
      <c r="F176">
        <v>31</v>
      </c>
    </row>
    <row r="177" spans="1:6" x14ac:dyDescent="0.25">
      <c r="A177" t="s">
        <v>366</v>
      </c>
      <c r="B177" t="s">
        <v>367</v>
      </c>
      <c r="C177" t="s">
        <v>32</v>
      </c>
      <c r="D177" t="s">
        <v>29</v>
      </c>
      <c r="E177" t="s">
        <v>24</v>
      </c>
      <c r="F177">
        <v>43</v>
      </c>
    </row>
    <row r="178" spans="1:6" x14ac:dyDescent="0.25">
      <c r="A178" t="s">
        <v>368</v>
      </c>
      <c r="B178" t="s">
        <v>369</v>
      </c>
      <c r="C178" t="s">
        <v>22</v>
      </c>
      <c r="D178" t="s">
        <v>23</v>
      </c>
      <c r="E178" t="s">
        <v>19</v>
      </c>
      <c r="F178">
        <v>45</v>
      </c>
    </row>
    <row r="179" spans="1:6" x14ac:dyDescent="0.25">
      <c r="A179" t="s">
        <v>370</v>
      </c>
      <c r="B179" t="s">
        <v>371</v>
      </c>
      <c r="C179" t="s">
        <v>22</v>
      </c>
      <c r="D179" t="s">
        <v>18</v>
      </c>
      <c r="E179" t="s">
        <v>19</v>
      </c>
      <c r="F179">
        <v>40</v>
      </c>
    </row>
    <row r="180" spans="1:6" x14ac:dyDescent="0.25">
      <c r="A180" t="s">
        <v>372</v>
      </c>
      <c r="B180" t="s">
        <v>373</v>
      </c>
      <c r="C180" t="s">
        <v>17</v>
      </c>
      <c r="D180" t="s">
        <v>23</v>
      </c>
      <c r="E180" t="s">
        <v>19</v>
      </c>
      <c r="F180">
        <v>31</v>
      </c>
    </row>
    <row r="181" spans="1:6" x14ac:dyDescent="0.25">
      <c r="A181" t="s">
        <v>374</v>
      </c>
      <c r="B181" t="s">
        <v>375</v>
      </c>
      <c r="C181" t="s">
        <v>17</v>
      </c>
      <c r="D181" t="s">
        <v>18</v>
      </c>
      <c r="E181" t="s">
        <v>19</v>
      </c>
      <c r="F181">
        <v>41</v>
      </c>
    </row>
    <row r="182" spans="1:6" x14ac:dyDescent="0.25">
      <c r="A182" t="s">
        <v>376</v>
      </c>
      <c r="B182" t="s">
        <v>377</v>
      </c>
      <c r="C182" t="s">
        <v>32</v>
      </c>
      <c r="D182" t="s">
        <v>29</v>
      </c>
      <c r="E182" t="s">
        <v>19</v>
      </c>
      <c r="F182">
        <v>19</v>
      </c>
    </row>
    <row r="183" spans="1:6" x14ac:dyDescent="0.25">
      <c r="A183" t="s">
        <v>378</v>
      </c>
      <c r="B183" t="s">
        <v>379</v>
      </c>
      <c r="C183" t="s">
        <v>17</v>
      </c>
      <c r="D183" t="s">
        <v>18</v>
      </c>
      <c r="E183" t="s">
        <v>19</v>
      </c>
      <c r="F183">
        <v>62</v>
      </c>
    </row>
    <row r="184" spans="1:6" x14ac:dyDescent="0.25">
      <c r="A184" t="s">
        <v>380</v>
      </c>
      <c r="B184" t="s">
        <v>381</v>
      </c>
      <c r="C184" t="s">
        <v>17</v>
      </c>
      <c r="D184" t="s">
        <v>18</v>
      </c>
      <c r="E184" t="s">
        <v>24</v>
      </c>
      <c r="F184">
        <v>43</v>
      </c>
    </row>
    <row r="185" spans="1:6" x14ac:dyDescent="0.25">
      <c r="A185" t="s">
        <v>382</v>
      </c>
      <c r="B185" t="s">
        <v>383</v>
      </c>
      <c r="C185" t="s">
        <v>17</v>
      </c>
      <c r="D185" t="s">
        <v>23</v>
      </c>
      <c r="E185" t="s">
        <v>19</v>
      </c>
      <c r="F185">
        <v>31</v>
      </c>
    </row>
    <row r="186" spans="1:6" x14ac:dyDescent="0.25">
      <c r="A186" t="s">
        <v>384</v>
      </c>
      <c r="B186" t="s">
        <v>385</v>
      </c>
      <c r="C186" t="s">
        <v>17</v>
      </c>
      <c r="D186" t="s">
        <v>29</v>
      </c>
      <c r="E186" t="s">
        <v>19</v>
      </c>
      <c r="F186">
        <v>24</v>
      </c>
    </row>
    <row r="187" spans="1:6" x14ac:dyDescent="0.25">
      <c r="A187" t="s">
        <v>386</v>
      </c>
      <c r="B187" t="s">
        <v>387</v>
      </c>
      <c r="C187" t="s">
        <v>37</v>
      </c>
      <c r="D187" t="s">
        <v>23</v>
      </c>
      <c r="E187" t="s">
        <v>19</v>
      </c>
      <c r="F187">
        <v>20</v>
      </c>
    </row>
    <row r="188" spans="1:6" x14ac:dyDescent="0.25">
      <c r="A188" t="s">
        <v>388</v>
      </c>
      <c r="B188" t="s">
        <v>389</v>
      </c>
      <c r="C188" t="s">
        <v>22</v>
      </c>
      <c r="D188" t="s">
        <v>18</v>
      </c>
      <c r="E188" t="s">
        <v>24</v>
      </c>
      <c r="F188">
        <v>64</v>
      </c>
    </row>
    <row r="189" spans="1:6" x14ac:dyDescent="0.25">
      <c r="A189" t="s">
        <v>390</v>
      </c>
      <c r="B189" t="s">
        <v>391</v>
      </c>
      <c r="C189" t="s">
        <v>37</v>
      </c>
      <c r="D189" t="s">
        <v>29</v>
      </c>
      <c r="E189" t="s">
        <v>19</v>
      </c>
      <c r="F189">
        <v>40</v>
      </c>
    </row>
    <row r="190" spans="1:6" x14ac:dyDescent="0.25">
      <c r="A190" t="s">
        <v>392</v>
      </c>
      <c r="B190" t="s">
        <v>333</v>
      </c>
      <c r="C190" t="s">
        <v>17</v>
      </c>
      <c r="D190" t="s">
        <v>23</v>
      </c>
      <c r="E190" t="s">
        <v>19</v>
      </c>
      <c r="F190">
        <v>63</v>
      </c>
    </row>
    <row r="191" spans="1:6" x14ac:dyDescent="0.25">
      <c r="A191" t="s">
        <v>393</v>
      </c>
      <c r="B191" t="s">
        <v>394</v>
      </c>
      <c r="C191" t="s">
        <v>32</v>
      </c>
      <c r="D191" t="s">
        <v>18</v>
      </c>
      <c r="E191" t="s">
        <v>24</v>
      </c>
      <c r="F191">
        <v>60</v>
      </c>
    </row>
    <row r="192" spans="1:6" x14ac:dyDescent="0.25">
      <c r="A192" t="s">
        <v>395</v>
      </c>
      <c r="B192" t="s">
        <v>396</v>
      </c>
      <c r="C192" t="s">
        <v>22</v>
      </c>
      <c r="D192" t="s">
        <v>23</v>
      </c>
      <c r="E192" t="s">
        <v>19</v>
      </c>
      <c r="F192">
        <v>64</v>
      </c>
    </row>
    <row r="193" spans="1:6" x14ac:dyDescent="0.25">
      <c r="A193" t="s">
        <v>397</v>
      </c>
      <c r="B193" t="s">
        <v>398</v>
      </c>
      <c r="C193" t="s">
        <v>22</v>
      </c>
      <c r="D193" t="s">
        <v>29</v>
      </c>
      <c r="E193" t="s">
        <v>19</v>
      </c>
      <c r="F193">
        <v>62</v>
      </c>
    </row>
    <row r="194" spans="1:6" x14ac:dyDescent="0.25">
      <c r="A194" t="s">
        <v>399</v>
      </c>
      <c r="B194" t="s">
        <v>400</v>
      </c>
      <c r="C194" t="s">
        <v>37</v>
      </c>
      <c r="D194" t="s">
        <v>29</v>
      </c>
      <c r="E194" t="s">
        <v>19</v>
      </c>
      <c r="F194">
        <v>35</v>
      </c>
    </row>
    <row r="195" spans="1:6" x14ac:dyDescent="0.25">
      <c r="A195" t="s">
        <v>401</v>
      </c>
      <c r="B195" t="s">
        <v>402</v>
      </c>
      <c r="C195" t="s">
        <v>37</v>
      </c>
      <c r="D195" t="s">
        <v>23</v>
      </c>
      <c r="E195" t="s">
        <v>19</v>
      </c>
      <c r="F195">
        <v>55</v>
      </c>
    </row>
    <row r="196" spans="1:6" x14ac:dyDescent="0.25">
      <c r="A196" t="s">
        <v>403</v>
      </c>
      <c r="B196" t="s">
        <v>404</v>
      </c>
      <c r="C196" t="s">
        <v>37</v>
      </c>
      <c r="D196" t="s">
        <v>29</v>
      </c>
      <c r="E196" t="s">
        <v>19</v>
      </c>
      <c r="F196">
        <v>52</v>
      </c>
    </row>
    <row r="197" spans="1:6" x14ac:dyDescent="0.25">
      <c r="A197" t="s">
        <v>405</v>
      </c>
      <c r="B197" t="s">
        <v>75</v>
      </c>
      <c r="C197" t="s">
        <v>17</v>
      </c>
      <c r="D197" t="s">
        <v>18</v>
      </c>
      <c r="E197" t="s">
        <v>24</v>
      </c>
      <c r="F197">
        <v>32</v>
      </c>
    </row>
    <row r="198" spans="1:6" x14ac:dyDescent="0.25">
      <c r="A198" t="s">
        <v>406</v>
      </c>
      <c r="B198" t="s">
        <v>407</v>
      </c>
      <c r="C198" t="s">
        <v>17</v>
      </c>
      <c r="D198" t="s">
        <v>23</v>
      </c>
      <c r="E198" t="s">
        <v>24</v>
      </c>
      <c r="F198">
        <v>42</v>
      </c>
    </row>
    <row r="199" spans="1:6" x14ac:dyDescent="0.25">
      <c r="A199" t="s">
        <v>408</v>
      </c>
      <c r="B199" t="s">
        <v>409</v>
      </c>
      <c r="C199" t="s">
        <v>32</v>
      </c>
      <c r="D199" t="s">
        <v>29</v>
      </c>
      <c r="E199" t="s">
        <v>24</v>
      </c>
      <c r="F199">
        <v>54</v>
      </c>
    </row>
    <row r="200" spans="1:6" x14ac:dyDescent="0.25">
      <c r="A200" t="s">
        <v>410</v>
      </c>
      <c r="B200" t="s">
        <v>411</v>
      </c>
      <c r="C200" t="s">
        <v>22</v>
      </c>
      <c r="D200" t="s">
        <v>23</v>
      </c>
      <c r="E200" t="s">
        <v>19</v>
      </c>
      <c r="F200">
        <v>45</v>
      </c>
    </row>
    <row r="201" spans="1:6" x14ac:dyDescent="0.25">
      <c r="A201" t="s">
        <v>412</v>
      </c>
      <c r="B201" t="s">
        <v>413</v>
      </c>
      <c r="C201" t="s">
        <v>32</v>
      </c>
      <c r="D201" t="s">
        <v>29</v>
      </c>
      <c r="E201" t="s">
        <v>19</v>
      </c>
      <c r="F201">
        <v>27</v>
      </c>
    </row>
    <row r="202" spans="1:6" x14ac:dyDescent="0.25">
      <c r="A202" t="s">
        <v>414</v>
      </c>
      <c r="B202" t="s">
        <v>415</v>
      </c>
      <c r="C202" t="s">
        <v>32</v>
      </c>
      <c r="D202" t="s">
        <v>23</v>
      </c>
      <c r="E202" t="s">
        <v>19</v>
      </c>
      <c r="F202">
        <v>56</v>
      </c>
    </row>
    <row r="203" spans="1:6" x14ac:dyDescent="0.25">
      <c r="A203" t="s">
        <v>416</v>
      </c>
      <c r="B203" t="s">
        <v>220</v>
      </c>
      <c r="C203" t="s">
        <v>32</v>
      </c>
      <c r="D203" t="s">
        <v>18</v>
      </c>
      <c r="E203" t="s">
        <v>24</v>
      </c>
      <c r="F203">
        <v>34</v>
      </c>
    </row>
    <row r="204" spans="1:6" x14ac:dyDescent="0.25">
      <c r="A204" t="s">
        <v>417</v>
      </c>
      <c r="B204" t="s">
        <v>418</v>
      </c>
      <c r="C204" t="s">
        <v>37</v>
      </c>
      <c r="D204" t="s">
        <v>18</v>
      </c>
      <c r="E204" t="s">
        <v>19</v>
      </c>
      <c r="F204">
        <v>56</v>
      </c>
    </row>
    <row r="205" spans="1:6" x14ac:dyDescent="0.25">
      <c r="A205" t="s">
        <v>419</v>
      </c>
      <c r="B205" t="s">
        <v>420</v>
      </c>
      <c r="C205" t="s">
        <v>32</v>
      </c>
      <c r="D205" t="s">
        <v>23</v>
      </c>
      <c r="E205" t="s">
        <v>19</v>
      </c>
      <c r="F205">
        <v>39</v>
      </c>
    </row>
    <row r="206" spans="1:6" x14ac:dyDescent="0.25">
      <c r="A206" t="s">
        <v>421</v>
      </c>
      <c r="B206" t="s">
        <v>422</v>
      </c>
      <c r="C206" t="s">
        <v>17</v>
      </c>
      <c r="D206" t="s">
        <v>23</v>
      </c>
      <c r="E206" t="s">
        <v>24</v>
      </c>
      <c r="F206">
        <v>43</v>
      </c>
    </row>
    <row r="207" spans="1:6" x14ac:dyDescent="0.25">
      <c r="A207" t="s">
        <v>423</v>
      </c>
      <c r="B207" t="s">
        <v>424</v>
      </c>
      <c r="C207" t="s">
        <v>17</v>
      </c>
      <c r="D207" t="s">
        <v>29</v>
      </c>
      <c r="E207" t="s">
        <v>19</v>
      </c>
      <c r="F207">
        <v>61</v>
      </c>
    </row>
    <row r="208" spans="1:6" x14ac:dyDescent="0.25">
      <c r="A208" t="s">
        <v>425</v>
      </c>
      <c r="B208" t="s">
        <v>426</v>
      </c>
      <c r="C208" t="s">
        <v>32</v>
      </c>
      <c r="D208" t="s">
        <v>29</v>
      </c>
      <c r="E208" t="s">
        <v>24</v>
      </c>
      <c r="F208">
        <v>42</v>
      </c>
    </row>
    <row r="209" spans="1:6" x14ac:dyDescent="0.25">
      <c r="A209" t="s">
        <v>427</v>
      </c>
      <c r="B209" t="s">
        <v>428</v>
      </c>
      <c r="C209" t="s">
        <v>22</v>
      </c>
      <c r="D209" t="s">
        <v>23</v>
      </c>
      <c r="E209" t="s">
        <v>24</v>
      </c>
      <c r="F209">
        <v>34</v>
      </c>
    </row>
    <row r="210" spans="1:6" x14ac:dyDescent="0.25">
      <c r="A210" t="s">
        <v>429</v>
      </c>
      <c r="B210" t="s">
        <v>430</v>
      </c>
      <c r="C210" t="s">
        <v>17</v>
      </c>
      <c r="D210" t="s">
        <v>23</v>
      </c>
      <c r="E210" t="s">
        <v>24</v>
      </c>
      <c r="F210">
        <v>30</v>
      </c>
    </row>
    <row r="211" spans="1:6" x14ac:dyDescent="0.25">
      <c r="A211" t="s">
        <v>431</v>
      </c>
      <c r="B211" t="s">
        <v>432</v>
      </c>
      <c r="C211" t="s">
        <v>22</v>
      </c>
      <c r="D211" t="s">
        <v>23</v>
      </c>
      <c r="E211" t="s">
        <v>19</v>
      </c>
      <c r="F211">
        <v>37</v>
      </c>
    </row>
    <row r="212" spans="1:6" x14ac:dyDescent="0.25">
      <c r="A212" t="s">
        <v>433</v>
      </c>
      <c r="B212" t="s">
        <v>434</v>
      </c>
      <c r="C212" t="s">
        <v>32</v>
      </c>
      <c r="D212" t="s">
        <v>18</v>
      </c>
      <c r="E212" t="s">
        <v>19</v>
      </c>
      <c r="F212">
        <v>42</v>
      </c>
    </row>
    <row r="213" spans="1:6" x14ac:dyDescent="0.25">
      <c r="A213" t="s">
        <v>435</v>
      </c>
      <c r="B213" t="s">
        <v>436</v>
      </c>
      <c r="C213" t="s">
        <v>37</v>
      </c>
      <c r="D213" t="s">
        <v>23</v>
      </c>
      <c r="E213" t="s">
        <v>19</v>
      </c>
      <c r="F213">
        <v>21</v>
      </c>
    </row>
    <row r="214" spans="1:6" x14ac:dyDescent="0.25">
      <c r="A214" t="s">
        <v>437</v>
      </c>
      <c r="B214" t="s">
        <v>438</v>
      </c>
      <c r="C214" t="s">
        <v>32</v>
      </c>
      <c r="D214" t="s">
        <v>18</v>
      </c>
      <c r="E214" t="s">
        <v>19</v>
      </c>
      <c r="F214">
        <v>27</v>
      </c>
    </row>
    <row r="215" spans="1:6" x14ac:dyDescent="0.25">
      <c r="A215" t="s">
        <v>439</v>
      </c>
      <c r="B215" t="s">
        <v>440</v>
      </c>
      <c r="C215" t="s">
        <v>22</v>
      </c>
      <c r="D215" t="s">
        <v>23</v>
      </c>
      <c r="E215" t="s">
        <v>19</v>
      </c>
      <c r="F215">
        <v>20</v>
      </c>
    </row>
    <row r="216" spans="1:6" x14ac:dyDescent="0.25">
      <c r="A216" t="s">
        <v>441</v>
      </c>
      <c r="B216" t="s">
        <v>442</v>
      </c>
      <c r="C216" t="s">
        <v>17</v>
      </c>
      <c r="D216" t="s">
        <v>18</v>
      </c>
      <c r="E216" t="s">
        <v>19</v>
      </c>
      <c r="F216">
        <v>58</v>
      </c>
    </row>
    <row r="217" spans="1:6" x14ac:dyDescent="0.25">
      <c r="A217" t="s">
        <v>443</v>
      </c>
      <c r="B217" t="s">
        <v>375</v>
      </c>
      <c r="C217" t="s">
        <v>32</v>
      </c>
      <c r="D217" t="s">
        <v>23</v>
      </c>
      <c r="E217" t="s">
        <v>19</v>
      </c>
      <c r="F217">
        <v>62</v>
      </c>
    </row>
    <row r="218" spans="1:6" x14ac:dyDescent="0.25">
      <c r="A218" t="s">
        <v>444</v>
      </c>
      <c r="B218" t="s">
        <v>445</v>
      </c>
      <c r="C218" t="s">
        <v>22</v>
      </c>
      <c r="D218" t="s">
        <v>23</v>
      </c>
      <c r="E218" t="s">
        <v>24</v>
      </c>
      <c r="F218">
        <v>35</v>
      </c>
    </row>
    <row r="219" spans="1:6" x14ac:dyDescent="0.25">
      <c r="A219" t="s">
        <v>446</v>
      </c>
      <c r="B219" t="s">
        <v>447</v>
      </c>
      <c r="C219" t="s">
        <v>32</v>
      </c>
      <c r="D219" t="s">
        <v>18</v>
      </c>
      <c r="E219" t="s">
        <v>19</v>
      </c>
      <c r="F219">
        <v>64</v>
      </c>
    </row>
    <row r="220" spans="1:6" x14ac:dyDescent="0.25">
      <c r="A220" t="s">
        <v>448</v>
      </c>
      <c r="B220" t="s">
        <v>449</v>
      </c>
      <c r="C220" t="s">
        <v>32</v>
      </c>
      <c r="D220" t="s">
        <v>18</v>
      </c>
      <c r="E220" t="s">
        <v>24</v>
      </c>
      <c r="F220">
        <v>53</v>
      </c>
    </row>
    <row r="221" spans="1:6" x14ac:dyDescent="0.25">
      <c r="A221" t="s">
        <v>450</v>
      </c>
      <c r="B221" t="s">
        <v>451</v>
      </c>
      <c r="C221" t="s">
        <v>17</v>
      </c>
      <c r="D221" t="s">
        <v>23</v>
      </c>
      <c r="E221" t="s">
        <v>19</v>
      </c>
      <c r="F221">
        <v>64</v>
      </c>
    </row>
    <row r="222" spans="1:6" x14ac:dyDescent="0.25">
      <c r="A222" t="s">
        <v>452</v>
      </c>
      <c r="B222" t="s">
        <v>353</v>
      </c>
      <c r="C222" t="s">
        <v>17</v>
      </c>
      <c r="D222" t="s">
        <v>23</v>
      </c>
      <c r="E222" t="s">
        <v>19</v>
      </c>
      <c r="F222">
        <v>39</v>
      </c>
    </row>
    <row r="223" spans="1:6" x14ac:dyDescent="0.25">
      <c r="A223" t="s">
        <v>453</v>
      </c>
      <c r="B223" t="s">
        <v>454</v>
      </c>
      <c r="C223" t="s">
        <v>17</v>
      </c>
      <c r="D223" t="s">
        <v>23</v>
      </c>
      <c r="E223" t="s">
        <v>19</v>
      </c>
      <c r="F223">
        <v>51</v>
      </c>
    </row>
    <row r="224" spans="1:6" x14ac:dyDescent="0.25">
      <c r="A224" t="s">
        <v>455</v>
      </c>
      <c r="B224" t="s">
        <v>456</v>
      </c>
      <c r="C224" t="s">
        <v>37</v>
      </c>
      <c r="D224" t="s">
        <v>23</v>
      </c>
      <c r="E224" t="s">
        <v>24</v>
      </c>
      <c r="F224">
        <v>64</v>
      </c>
    </row>
    <row r="225" spans="1:6" x14ac:dyDescent="0.25">
      <c r="A225" t="s">
        <v>457</v>
      </c>
      <c r="B225" t="s">
        <v>458</v>
      </c>
      <c r="C225" t="s">
        <v>32</v>
      </c>
      <c r="D225" t="s">
        <v>23</v>
      </c>
      <c r="E225" t="s">
        <v>24</v>
      </c>
      <c r="F225">
        <v>25</v>
      </c>
    </row>
    <row r="226" spans="1:6" x14ac:dyDescent="0.25">
      <c r="A226" t="s">
        <v>459</v>
      </c>
      <c r="B226" t="s">
        <v>460</v>
      </c>
      <c r="C226" t="s">
        <v>17</v>
      </c>
      <c r="D226" t="s">
        <v>18</v>
      </c>
      <c r="E226" t="s">
        <v>24</v>
      </c>
      <c r="F226">
        <v>57</v>
      </c>
    </row>
    <row r="227" spans="1:6" x14ac:dyDescent="0.25">
      <c r="A227" t="s">
        <v>461</v>
      </c>
      <c r="B227" t="s">
        <v>462</v>
      </c>
      <c r="C227" t="s">
        <v>37</v>
      </c>
      <c r="D227" t="s">
        <v>23</v>
      </c>
      <c r="E227" t="s">
        <v>24</v>
      </c>
      <c r="F227">
        <v>61</v>
      </c>
    </row>
    <row r="228" spans="1:6" x14ac:dyDescent="0.25">
      <c r="A228" t="s">
        <v>463</v>
      </c>
      <c r="B228" t="s">
        <v>464</v>
      </c>
      <c r="C228" t="s">
        <v>22</v>
      </c>
      <c r="D228" t="s">
        <v>29</v>
      </c>
      <c r="E228" t="s">
        <v>19</v>
      </c>
      <c r="F228">
        <v>36</v>
      </c>
    </row>
    <row r="229" spans="1:6" x14ac:dyDescent="0.25">
      <c r="A229" t="s">
        <v>465</v>
      </c>
      <c r="B229" t="s">
        <v>466</v>
      </c>
      <c r="C229" t="s">
        <v>22</v>
      </c>
      <c r="D229" t="s">
        <v>23</v>
      </c>
      <c r="E229" t="s">
        <v>24</v>
      </c>
      <c r="F229">
        <v>59</v>
      </c>
    </row>
    <row r="230" spans="1:6" x14ac:dyDescent="0.25">
      <c r="A230" t="s">
        <v>467</v>
      </c>
      <c r="B230" t="s">
        <v>468</v>
      </c>
      <c r="C230" t="s">
        <v>37</v>
      </c>
      <c r="D230" t="s">
        <v>23</v>
      </c>
      <c r="E230" t="s">
        <v>19</v>
      </c>
      <c r="F230">
        <v>58</v>
      </c>
    </row>
    <row r="231" spans="1:6" x14ac:dyDescent="0.25">
      <c r="A231" t="s">
        <v>469</v>
      </c>
      <c r="B231" t="s">
        <v>470</v>
      </c>
      <c r="C231" t="s">
        <v>17</v>
      </c>
      <c r="D231" t="s">
        <v>29</v>
      </c>
      <c r="E231" t="s">
        <v>19</v>
      </c>
      <c r="F231">
        <v>54</v>
      </c>
    </row>
    <row r="232" spans="1:6" x14ac:dyDescent="0.25">
      <c r="A232" t="s">
        <v>471</v>
      </c>
      <c r="B232" t="s">
        <v>472</v>
      </c>
      <c r="C232" t="s">
        <v>17</v>
      </c>
      <c r="D232" t="s">
        <v>23</v>
      </c>
      <c r="E232" t="s">
        <v>24</v>
      </c>
      <c r="F232">
        <v>23</v>
      </c>
    </row>
    <row r="233" spans="1:6" x14ac:dyDescent="0.25">
      <c r="A233" t="s">
        <v>473</v>
      </c>
      <c r="B233" t="s">
        <v>266</v>
      </c>
      <c r="C233" t="s">
        <v>32</v>
      </c>
      <c r="D233" t="s">
        <v>29</v>
      </c>
      <c r="E233" t="s">
        <v>24</v>
      </c>
      <c r="F233">
        <v>43</v>
      </c>
    </row>
    <row r="234" spans="1:6" x14ac:dyDescent="0.25">
      <c r="A234" t="s">
        <v>474</v>
      </c>
      <c r="B234" t="s">
        <v>475</v>
      </c>
      <c r="C234" t="s">
        <v>17</v>
      </c>
      <c r="D234" t="s">
        <v>23</v>
      </c>
      <c r="E234" t="s">
        <v>24</v>
      </c>
      <c r="F234">
        <v>51</v>
      </c>
    </row>
    <row r="235" spans="1:6" x14ac:dyDescent="0.25">
      <c r="A235" t="s">
        <v>476</v>
      </c>
      <c r="B235" t="s">
        <v>278</v>
      </c>
      <c r="C235" t="s">
        <v>32</v>
      </c>
      <c r="D235" t="s">
        <v>18</v>
      </c>
      <c r="E235" t="s">
        <v>24</v>
      </c>
      <c r="F235">
        <v>62</v>
      </c>
    </row>
    <row r="236" spans="1:6" x14ac:dyDescent="0.25">
      <c r="A236" t="s">
        <v>477</v>
      </c>
      <c r="B236" t="s">
        <v>47</v>
      </c>
      <c r="C236" t="s">
        <v>17</v>
      </c>
      <c r="D236" t="s">
        <v>29</v>
      </c>
      <c r="E236" t="s">
        <v>24</v>
      </c>
      <c r="F236">
        <v>23</v>
      </c>
    </row>
    <row r="237" spans="1:6" x14ac:dyDescent="0.25">
      <c r="A237" t="s">
        <v>478</v>
      </c>
      <c r="B237" t="s">
        <v>479</v>
      </c>
      <c r="C237" t="s">
        <v>17</v>
      </c>
      <c r="D237" t="s">
        <v>18</v>
      </c>
      <c r="E237" t="s">
        <v>24</v>
      </c>
      <c r="F237">
        <v>54</v>
      </c>
    </row>
    <row r="238" spans="1:6" x14ac:dyDescent="0.25">
      <c r="A238" t="s">
        <v>480</v>
      </c>
      <c r="B238" t="s">
        <v>481</v>
      </c>
      <c r="C238" t="s">
        <v>17</v>
      </c>
      <c r="D238" t="s">
        <v>23</v>
      </c>
      <c r="E238" t="s">
        <v>24</v>
      </c>
      <c r="F238">
        <v>50</v>
      </c>
    </row>
    <row r="239" spans="1:6" x14ac:dyDescent="0.25">
      <c r="A239" t="s">
        <v>482</v>
      </c>
      <c r="B239" t="s">
        <v>483</v>
      </c>
      <c r="C239" t="s">
        <v>22</v>
      </c>
      <c r="D239" t="s">
        <v>23</v>
      </c>
      <c r="E239" t="s">
        <v>24</v>
      </c>
      <c r="F239">
        <v>39</v>
      </c>
    </row>
    <row r="240" spans="1:6" x14ac:dyDescent="0.25">
      <c r="A240" t="s">
        <v>484</v>
      </c>
      <c r="B240" t="s">
        <v>485</v>
      </c>
      <c r="C240" t="s">
        <v>17</v>
      </c>
      <c r="D240" t="s">
        <v>23</v>
      </c>
      <c r="E240" t="s">
        <v>19</v>
      </c>
      <c r="F240">
        <v>38</v>
      </c>
    </row>
    <row r="241" spans="1:6" x14ac:dyDescent="0.25">
      <c r="A241" t="s">
        <v>486</v>
      </c>
      <c r="B241" t="s">
        <v>276</v>
      </c>
      <c r="C241" t="s">
        <v>17</v>
      </c>
      <c r="D241" t="s">
        <v>29</v>
      </c>
      <c r="E241" t="s">
        <v>24</v>
      </c>
      <c r="F241">
        <v>23</v>
      </c>
    </row>
    <row r="242" spans="1:6" x14ac:dyDescent="0.25">
      <c r="A242" t="s">
        <v>487</v>
      </c>
      <c r="B242" t="s">
        <v>488</v>
      </c>
      <c r="C242" t="s">
        <v>37</v>
      </c>
      <c r="D242" t="s">
        <v>23</v>
      </c>
      <c r="E242" t="s">
        <v>24</v>
      </c>
      <c r="F242">
        <v>23</v>
      </c>
    </row>
    <row r="243" spans="1:6" x14ac:dyDescent="0.25">
      <c r="A243" t="s">
        <v>489</v>
      </c>
      <c r="B243" t="s">
        <v>490</v>
      </c>
      <c r="C243" t="s">
        <v>22</v>
      </c>
      <c r="D243" t="s">
        <v>23</v>
      </c>
      <c r="E243" t="s">
        <v>19</v>
      </c>
      <c r="F243">
        <v>21</v>
      </c>
    </row>
    <row r="244" spans="1:6" x14ac:dyDescent="0.25">
      <c r="A244" t="s">
        <v>491</v>
      </c>
      <c r="B244" t="s">
        <v>492</v>
      </c>
      <c r="C244" t="s">
        <v>22</v>
      </c>
      <c r="D244" t="s">
        <v>23</v>
      </c>
      <c r="E244" t="s">
        <v>24</v>
      </c>
      <c r="F244">
        <v>47</v>
      </c>
    </row>
    <row r="245" spans="1:6" x14ac:dyDescent="0.25">
      <c r="A245" t="s">
        <v>493</v>
      </c>
      <c r="B245" t="s">
        <v>494</v>
      </c>
      <c r="C245" t="s">
        <v>17</v>
      </c>
      <c r="D245" t="s">
        <v>23</v>
      </c>
      <c r="E245" t="s">
        <v>19</v>
      </c>
      <c r="F245">
        <v>28</v>
      </c>
    </row>
    <row r="246" spans="1:6" x14ac:dyDescent="0.25">
      <c r="A246" t="s">
        <v>495</v>
      </c>
      <c r="B246" t="s">
        <v>496</v>
      </c>
      <c r="C246" t="s">
        <v>22</v>
      </c>
      <c r="D246" t="s">
        <v>23</v>
      </c>
      <c r="E246" t="s">
        <v>19</v>
      </c>
      <c r="F246">
        <v>47</v>
      </c>
    </row>
    <row r="247" spans="1:6" x14ac:dyDescent="0.25">
      <c r="A247" t="s">
        <v>497</v>
      </c>
      <c r="B247" t="s">
        <v>498</v>
      </c>
      <c r="C247" t="s">
        <v>17</v>
      </c>
      <c r="D247" t="s">
        <v>23</v>
      </c>
      <c r="E247" t="s">
        <v>24</v>
      </c>
      <c r="F247">
        <v>48</v>
      </c>
    </row>
    <row r="248" spans="1:6" x14ac:dyDescent="0.25">
      <c r="A248" t="s">
        <v>499</v>
      </c>
      <c r="B248" t="s">
        <v>500</v>
      </c>
      <c r="C248" t="s">
        <v>32</v>
      </c>
      <c r="D248" t="s">
        <v>23</v>
      </c>
      <c r="E248" t="s">
        <v>19</v>
      </c>
      <c r="F248">
        <v>41</v>
      </c>
    </row>
    <row r="249" spans="1:6" x14ac:dyDescent="0.25">
      <c r="A249" t="s">
        <v>501</v>
      </c>
      <c r="B249" t="s">
        <v>502</v>
      </c>
      <c r="C249" t="s">
        <v>17</v>
      </c>
      <c r="D249" t="s">
        <v>29</v>
      </c>
      <c r="E249" t="s">
        <v>19</v>
      </c>
      <c r="F249">
        <v>26</v>
      </c>
    </row>
    <row r="250" spans="1:6" x14ac:dyDescent="0.25">
      <c r="A250" t="s">
        <v>503</v>
      </c>
      <c r="B250" t="s">
        <v>504</v>
      </c>
      <c r="C250" t="s">
        <v>37</v>
      </c>
      <c r="D250" t="s">
        <v>23</v>
      </c>
      <c r="E250" t="s">
        <v>19</v>
      </c>
      <c r="F250">
        <v>20</v>
      </c>
    </row>
    <row r="251" spans="1:6" x14ac:dyDescent="0.25">
      <c r="A251" t="s">
        <v>505</v>
      </c>
      <c r="B251" t="s">
        <v>506</v>
      </c>
      <c r="C251" t="s">
        <v>37</v>
      </c>
      <c r="D251" t="s">
        <v>23</v>
      </c>
      <c r="E251" t="s">
        <v>19</v>
      </c>
      <c r="F251">
        <v>48</v>
      </c>
    </row>
    <row r="252" spans="1:6" x14ac:dyDescent="0.25">
      <c r="A252" t="s">
        <v>507</v>
      </c>
      <c r="B252" t="s">
        <v>508</v>
      </c>
      <c r="C252" t="s">
        <v>17</v>
      </c>
      <c r="D252" t="s">
        <v>29</v>
      </c>
      <c r="E252" t="s">
        <v>24</v>
      </c>
      <c r="F252">
        <v>57</v>
      </c>
    </row>
    <row r="253" spans="1:6" x14ac:dyDescent="0.25">
      <c r="A253" t="s">
        <v>509</v>
      </c>
      <c r="B253" t="s">
        <v>510</v>
      </c>
      <c r="C253" t="s">
        <v>17</v>
      </c>
      <c r="D253" t="s">
        <v>29</v>
      </c>
      <c r="E253" t="s">
        <v>19</v>
      </c>
      <c r="F253">
        <v>54</v>
      </c>
    </row>
    <row r="254" spans="1:6" x14ac:dyDescent="0.25">
      <c r="A254" t="s">
        <v>511</v>
      </c>
      <c r="B254" t="s">
        <v>512</v>
      </c>
      <c r="C254" t="s">
        <v>17</v>
      </c>
      <c r="D254" t="s">
        <v>23</v>
      </c>
      <c r="E254" t="s">
        <v>24</v>
      </c>
      <c r="F254">
        <v>53</v>
      </c>
    </row>
    <row r="255" spans="1:6" x14ac:dyDescent="0.25">
      <c r="A255" t="s">
        <v>513</v>
      </c>
      <c r="B255" t="s">
        <v>514</v>
      </c>
      <c r="C255" t="s">
        <v>32</v>
      </c>
      <c r="D255" t="s">
        <v>29</v>
      </c>
      <c r="E255" t="s">
        <v>19</v>
      </c>
      <c r="F255">
        <v>41</v>
      </c>
    </row>
    <row r="256" spans="1:6" x14ac:dyDescent="0.25">
      <c r="A256" t="s">
        <v>515</v>
      </c>
      <c r="B256" t="s">
        <v>516</v>
      </c>
      <c r="C256" t="s">
        <v>17</v>
      </c>
      <c r="D256" t="s">
        <v>18</v>
      </c>
      <c r="E256" t="s">
        <v>19</v>
      </c>
      <c r="F256">
        <v>48</v>
      </c>
    </row>
    <row r="257" spans="1:6" x14ac:dyDescent="0.25">
      <c r="A257" t="s">
        <v>517</v>
      </c>
      <c r="B257" t="s">
        <v>518</v>
      </c>
      <c r="C257" t="s">
        <v>37</v>
      </c>
      <c r="D257" t="s">
        <v>29</v>
      </c>
      <c r="E257" t="s">
        <v>19</v>
      </c>
      <c r="F257">
        <v>23</v>
      </c>
    </row>
    <row r="258" spans="1:6" x14ac:dyDescent="0.25">
      <c r="A258" t="s">
        <v>519</v>
      </c>
      <c r="B258" t="s">
        <v>520</v>
      </c>
      <c r="C258" t="s">
        <v>32</v>
      </c>
      <c r="D258" t="s">
        <v>18</v>
      </c>
      <c r="E258" t="s">
        <v>19</v>
      </c>
      <c r="F258">
        <v>19</v>
      </c>
    </row>
    <row r="259" spans="1:6" x14ac:dyDescent="0.25">
      <c r="A259" t="s">
        <v>521</v>
      </c>
      <c r="B259" t="s">
        <v>522</v>
      </c>
      <c r="C259" t="s">
        <v>37</v>
      </c>
      <c r="D259" t="s">
        <v>29</v>
      </c>
      <c r="E259" t="s">
        <v>24</v>
      </c>
      <c r="F259">
        <v>37</v>
      </c>
    </row>
    <row r="260" spans="1:6" x14ac:dyDescent="0.25">
      <c r="A260" t="s">
        <v>523</v>
      </c>
      <c r="B260" t="s">
        <v>59</v>
      </c>
      <c r="C260" t="s">
        <v>32</v>
      </c>
      <c r="D260" t="s">
        <v>23</v>
      </c>
      <c r="E260" t="s">
        <v>24</v>
      </c>
      <c r="F260">
        <v>45</v>
      </c>
    </row>
    <row r="261" spans="1:6" x14ac:dyDescent="0.25">
      <c r="A261" t="s">
        <v>524</v>
      </c>
      <c r="B261" t="s">
        <v>525</v>
      </c>
      <c r="C261" t="s">
        <v>37</v>
      </c>
      <c r="D261" t="s">
        <v>23</v>
      </c>
      <c r="E261" t="s">
        <v>19</v>
      </c>
      <c r="F261">
        <v>28</v>
      </c>
    </row>
    <row r="262" spans="1:6" x14ac:dyDescent="0.25">
      <c r="A262" t="s">
        <v>526</v>
      </c>
      <c r="B262" t="s">
        <v>527</v>
      </c>
      <c r="C262" t="s">
        <v>17</v>
      </c>
      <c r="D262" t="s">
        <v>29</v>
      </c>
      <c r="E262" t="s">
        <v>19</v>
      </c>
      <c r="F262">
        <v>21</v>
      </c>
    </row>
    <row r="263" spans="1:6" x14ac:dyDescent="0.25">
      <c r="A263" t="s">
        <v>528</v>
      </c>
      <c r="B263" t="s">
        <v>529</v>
      </c>
      <c r="C263" t="s">
        <v>22</v>
      </c>
      <c r="D263" t="s">
        <v>18</v>
      </c>
      <c r="E263" t="s">
        <v>24</v>
      </c>
      <c r="F263">
        <v>32</v>
      </c>
    </row>
    <row r="264" spans="1:6" x14ac:dyDescent="0.25">
      <c r="A264" t="s">
        <v>530</v>
      </c>
      <c r="B264" t="s">
        <v>531</v>
      </c>
      <c r="C264" t="s">
        <v>22</v>
      </c>
      <c r="D264" t="s">
        <v>23</v>
      </c>
      <c r="E264" t="s">
        <v>19</v>
      </c>
      <c r="F264">
        <v>23</v>
      </c>
    </row>
    <row r="265" spans="1:6" x14ac:dyDescent="0.25">
      <c r="A265" t="s">
        <v>532</v>
      </c>
      <c r="B265" t="s">
        <v>533</v>
      </c>
      <c r="C265" t="s">
        <v>37</v>
      </c>
      <c r="D265" t="s">
        <v>23</v>
      </c>
      <c r="E265" t="s">
        <v>19</v>
      </c>
      <c r="F265">
        <v>47</v>
      </c>
    </row>
    <row r="266" spans="1:6" x14ac:dyDescent="0.25">
      <c r="A266" t="s">
        <v>534</v>
      </c>
      <c r="B266" t="s">
        <v>535</v>
      </c>
      <c r="C266" t="s">
        <v>32</v>
      </c>
      <c r="D266" t="s">
        <v>29</v>
      </c>
      <c r="E266" t="s">
        <v>19</v>
      </c>
      <c r="F266">
        <v>55</v>
      </c>
    </row>
    <row r="267" spans="1:6" x14ac:dyDescent="0.25">
      <c r="A267" t="s">
        <v>536</v>
      </c>
      <c r="B267" t="s">
        <v>537</v>
      </c>
      <c r="C267" t="s">
        <v>37</v>
      </c>
      <c r="D267" t="s">
        <v>23</v>
      </c>
      <c r="E267" t="s">
        <v>24</v>
      </c>
      <c r="F267">
        <v>19</v>
      </c>
    </row>
    <row r="268" spans="1:6" x14ac:dyDescent="0.25">
      <c r="A268" t="s">
        <v>538</v>
      </c>
      <c r="B268" t="s">
        <v>539</v>
      </c>
      <c r="C268" t="s">
        <v>17</v>
      </c>
      <c r="D268" t="s">
        <v>29</v>
      </c>
      <c r="E268" t="s">
        <v>24</v>
      </c>
      <c r="F268">
        <v>32</v>
      </c>
    </row>
    <row r="269" spans="1:6" x14ac:dyDescent="0.25">
      <c r="A269" t="s">
        <v>540</v>
      </c>
      <c r="B269" t="s">
        <v>541</v>
      </c>
      <c r="C269" t="s">
        <v>37</v>
      </c>
      <c r="D269" t="s">
        <v>29</v>
      </c>
      <c r="E269" t="s">
        <v>24</v>
      </c>
      <c r="F269">
        <v>28</v>
      </c>
    </row>
    <row r="270" spans="1:6" x14ac:dyDescent="0.25">
      <c r="A270" t="s">
        <v>542</v>
      </c>
      <c r="B270" t="s">
        <v>543</v>
      </c>
      <c r="C270" t="s">
        <v>22</v>
      </c>
      <c r="D270" t="s">
        <v>29</v>
      </c>
      <c r="E270" t="s">
        <v>19</v>
      </c>
      <c r="F270">
        <v>25</v>
      </c>
    </row>
    <row r="271" spans="1:6" x14ac:dyDescent="0.25">
      <c r="A271" t="s">
        <v>544</v>
      </c>
      <c r="B271" t="s">
        <v>545</v>
      </c>
      <c r="C271" t="s">
        <v>22</v>
      </c>
      <c r="D271" t="s">
        <v>18</v>
      </c>
      <c r="E271" t="s">
        <v>19</v>
      </c>
      <c r="F271">
        <v>43</v>
      </c>
    </row>
    <row r="272" spans="1:6" x14ac:dyDescent="0.25">
      <c r="A272" t="s">
        <v>546</v>
      </c>
      <c r="B272" t="s">
        <v>547</v>
      </c>
      <c r="C272" t="s">
        <v>37</v>
      </c>
      <c r="D272" t="s">
        <v>29</v>
      </c>
      <c r="E272" t="s">
        <v>24</v>
      </c>
      <c r="F272">
        <v>62</v>
      </c>
    </row>
    <row r="273" spans="1:6" x14ac:dyDescent="0.25">
      <c r="A273" t="s">
        <v>548</v>
      </c>
      <c r="B273" t="s">
        <v>365</v>
      </c>
      <c r="C273" t="s">
        <v>22</v>
      </c>
      <c r="D273" t="s">
        <v>29</v>
      </c>
      <c r="E273" t="s">
        <v>24</v>
      </c>
      <c r="F273">
        <v>61</v>
      </c>
    </row>
    <row r="274" spans="1:6" x14ac:dyDescent="0.25">
      <c r="A274" t="s">
        <v>549</v>
      </c>
      <c r="B274" t="s">
        <v>172</v>
      </c>
      <c r="C274" t="s">
        <v>22</v>
      </c>
      <c r="D274" t="s">
        <v>29</v>
      </c>
      <c r="E274" t="s">
        <v>24</v>
      </c>
      <c r="F274">
        <v>22</v>
      </c>
    </row>
    <row r="275" spans="1:6" x14ac:dyDescent="0.25">
      <c r="A275" t="s">
        <v>550</v>
      </c>
      <c r="B275" t="s">
        <v>551</v>
      </c>
      <c r="C275" t="s">
        <v>32</v>
      </c>
      <c r="D275" t="s">
        <v>18</v>
      </c>
      <c r="E275" t="s">
        <v>24</v>
      </c>
      <c r="F275">
        <v>23</v>
      </c>
    </row>
    <row r="276" spans="1:6" x14ac:dyDescent="0.25">
      <c r="A276" t="s">
        <v>552</v>
      </c>
      <c r="B276" t="s">
        <v>553</v>
      </c>
      <c r="C276" t="s">
        <v>17</v>
      </c>
      <c r="D276" t="s">
        <v>18</v>
      </c>
      <c r="E276" t="s">
        <v>19</v>
      </c>
      <c r="F276">
        <v>43</v>
      </c>
    </row>
    <row r="277" spans="1:6" x14ac:dyDescent="0.25">
      <c r="A277" t="s">
        <v>554</v>
      </c>
      <c r="B277" t="s">
        <v>555</v>
      </c>
      <c r="C277" t="s">
        <v>22</v>
      </c>
      <c r="D277" t="s">
        <v>23</v>
      </c>
      <c r="E277" t="s">
        <v>24</v>
      </c>
      <c r="F277">
        <v>21</v>
      </c>
    </row>
    <row r="278" spans="1:6" x14ac:dyDescent="0.25">
      <c r="A278" t="s">
        <v>556</v>
      </c>
      <c r="B278" t="s">
        <v>557</v>
      </c>
      <c r="C278" t="s">
        <v>17</v>
      </c>
      <c r="D278" t="s">
        <v>29</v>
      </c>
      <c r="E278" t="s">
        <v>19</v>
      </c>
      <c r="F278">
        <v>36</v>
      </c>
    </row>
    <row r="279" spans="1:6" x14ac:dyDescent="0.25">
      <c r="A279" t="s">
        <v>558</v>
      </c>
      <c r="B279" t="s">
        <v>559</v>
      </c>
      <c r="C279" t="s">
        <v>17</v>
      </c>
      <c r="D279" t="s">
        <v>23</v>
      </c>
      <c r="E279" t="s">
        <v>24</v>
      </c>
      <c r="F279">
        <v>37</v>
      </c>
    </row>
    <row r="280" spans="1:6" x14ac:dyDescent="0.25">
      <c r="A280" t="s">
        <v>560</v>
      </c>
      <c r="B280" t="s">
        <v>561</v>
      </c>
      <c r="C280" t="s">
        <v>37</v>
      </c>
      <c r="D280" t="s">
        <v>18</v>
      </c>
      <c r="E280" t="s">
        <v>19</v>
      </c>
      <c r="F280">
        <v>50</v>
      </c>
    </row>
    <row r="281" spans="1:6" x14ac:dyDescent="0.25">
      <c r="A281" t="s">
        <v>562</v>
      </c>
      <c r="B281" t="s">
        <v>563</v>
      </c>
      <c r="C281" t="s">
        <v>32</v>
      </c>
      <c r="D281" t="s">
        <v>29</v>
      </c>
      <c r="E281" t="s">
        <v>24</v>
      </c>
      <c r="F281">
        <v>37</v>
      </c>
    </row>
    <row r="282" spans="1:6" x14ac:dyDescent="0.25">
      <c r="A282" t="s">
        <v>564</v>
      </c>
      <c r="B282" t="s">
        <v>367</v>
      </c>
      <c r="C282" t="s">
        <v>22</v>
      </c>
      <c r="D282" t="s">
        <v>23</v>
      </c>
      <c r="E282" t="s">
        <v>24</v>
      </c>
      <c r="F282">
        <v>29</v>
      </c>
    </row>
    <row r="283" spans="1:6" x14ac:dyDescent="0.25">
      <c r="A283" t="s">
        <v>565</v>
      </c>
      <c r="B283" t="s">
        <v>566</v>
      </c>
      <c r="C283" t="s">
        <v>22</v>
      </c>
      <c r="D283" t="s">
        <v>23</v>
      </c>
      <c r="E283" t="s">
        <v>24</v>
      </c>
      <c r="F283">
        <v>64</v>
      </c>
    </row>
    <row r="284" spans="1:6" x14ac:dyDescent="0.25">
      <c r="A284" t="s">
        <v>567</v>
      </c>
      <c r="B284" t="s">
        <v>568</v>
      </c>
      <c r="C284" t="s">
        <v>22</v>
      </c>
      <c r="D284" t="s">
        <v>23</v>
      </c>
      <c r="E284" t="s">
        <v>24</v>
      </c>
      <c r="F284">
        <v>18</v>
      </c>
    </row>
    <row r="285" spans="1:6" x14ac:dyDescent="0.25">
      <c r="A285" t="s">
        <v>569</v>
      </c>
      <c r="B285" t="s">
        <v>570</v>
      </c>
      <c r="C285" t="s">
        <v>32</v>
      </c>
      <c r="D285" t="s">
        <v>29</v>
      </c>
      <c r="E285" t="s">
        <v>19</v>
      </c>
      <c r="F285">
        <v>43</v>
      </c>
    </row>
    <row r="286" spans="1:6" x14ac:dyDescent="0.25">
      <c r="A286" t="s">
        <v>571</v>
      </c>
      <c r="B286" t="s">
        <v>572</v>
      </c>
      <c r="C286" t="s">
        <v>37</v>
      </c>
      <c r="D286" t="s">
        <v>23</v>
      </c>
      <c r="E286" t="s">
        <v>24</v>
      </c>
      <c r="F286">
        <v>31</v>
      </c>
    </row>
    <row r="287" spans="1:6" x14ac:dyDescent="0.25">
      <c r="A287" t="s">
        <v>573</v>
      </c>
      <c r="B287" t="s">
        <v>574</v>
      </c>
      <c r="C287" t="s">
        <v>37</v>
      </c>
      <c r="D287" t="s">
        <v>23</v>
      </c>
      <c r="E287" t="s">
        <v>19</v>
      </c>
      <c r="F287">
        <v>55</v>
      </c>
    </row>
    <row r="288" spans="1:6" x14ac:dyDescent="0.25">
      <c r="A288" t="s">
        <v>575</v>
      </c>
      <c r="B288" t="s">
        <v>576</v>
      </c>
      <c r="C288" t="s">
        <v>22</v>
      </c>
      <c r="D288" t="s">
        <v>18</v>
      </c>
      <c r="E288" t="s">
        <v>19</v>
      </c>
      <c r="F288">
        <v>54</v>
      </c>
    </row>
    <row r="289" spans="1:6" x14ac:dyDescent="0.25">
      <c r="A289" t="s">
        <v>577</v>
      </c>
      <c r="B289" t="s">
        <v>578</v>
      </c>
      <c r="C289" t="s">
        <v>22</v>
      </c>
      <c r="D289" t="s">
        <v>29</v>
      </c>
      <c r="E289" t="s">
        <v>19</v>
      </c>
      <c r="F289">
        <v>28</v>
      </c>
    </row>
    <row r="290" spans="1:6" x14ac:dyDescent="0.25">
      <c r="A290" t="s">
        <v>579</v>
      </c>
      <c r="B290" t="s">
        <v>580</v>
      </c>
      <c r="C290" t="s">
        <v>22</v>
      </c>
      <c r="D290" t="s">
        <v>23</v>
      </c>
      <c r="E290" t="s">
        <v>19</v>
      </c>
      <c r="F290">
        <v>53</v>
      </c>
    </row>
    <row r="291" spans="1:6" x14ac:dyDescent="0.25">
      <c r="A291" t="s">
        <v>581</v>
      </c>
      <c r="B291" t="s">
        <v>582</v>
      </c>
      <c r="C291" t="s">
        <v>32</v>
      </c>
      <c r="D291" t="s">
        <v>23</v>
      </c>
      <c r="E291" t="s">
        <v>24</v>
      </c>
      <c r="F291">
        <v>30</v>
      </c>
    </row>
    <row r="292" spans="1:6" x14ac:dyDescent="0.25">
      <c r="A292" t="s">
        <v>583</v>
      </c>
      <c r="B292" t="s">
        <v>584</v>
      </c>
      <c r="C292" t="s">
        <v>22</v>
      </c>
      <c r="D292" t="s">
        <v>18</v>
      </c>
      <c r="E292" t="s">
        <v>19</v>
      </c>
      <c r="F292">
        <v>60</v>
      </c>
    </row>
    <row r="293" spans="1:6" x14ac:dyDescent="0.25">
      <c r="A293" t="s">
        <v>585</v>
      </c>
      <c r="B293" t="s">
        <v>586</v>
      </c>
      <c r="C293" t="s">
        <v>32</v>
      </c>
      <c r="D293" t="s">
        <v>29</v>
      </c>
      <c r="E293" t="s">
        <v>19</v>
      </c>
      <c r="F293">
        <v>20</v>
      </c>
    </row>
    <row r="294" spans="1:6" x14ac:dyDescent="0.25">
      <c r="A294" t="s">
        <v>587</v>
      </c>
      <c r="B294" t="s">
        <v>588</v>
      </c>
      <c r="C294" t="s">
        <v>32</v>
      </c>
      <c r="D294" t="s">
        <v>29</v>
      </c>
      <c r="E294" t="s">
        <v>19</v>
      </c>
      <c r="F294">
        <v>50</v>
      </c>
    </row>
    <row r="295" spans="1:6" x14ac:dyDescent="0.25">
      <c r="A295" t="s">
        <v>589</v>
      </c>
      <c r="B295" t="s">
        <v>590</v>
      </c>
      <c r="C295" t="s">
        <v>22</v>
      </c>
      <c r="D295" t="s">
        <v>23</v>
      </c>
      <c r="E295" t="s">
        <v>24</v>
      </c>
      <c r="F295">
        <v>23</v>
      </c>
    </row>
    <row r="296" spans="1:6" x14ac:dyDescent="0.25">
      <c r="A296" t="s">
        <v>591</v>
      </c>
      <c r="B296" t="s">
        <v>592</v>
      </c>
      <c r="C296" t="s">
        <v>22</v>
      </c>
      <c r="D296" t="s">
        <v>23</v>
      </c>
      <c r="E296" t="s">
        <v>24</v>
      </c>
      <c r="F296">
        <v>27</v>
      </c>
    </row>
    <row r="297" spans="1:6" x14ac:dyDescent="0.25">
      <c r="A297" t="s">
        <v>593</v>
      </c>
      <c r="B297" t="s">
        <v>594</v>
      </c>
      <c r="C297" t="s">
        <v>22</v>
      </c>
      <c r="D297" t="s">
        <v>23</v>
      </c>
      <c r="E297" t="s">
        <v>24</v>
      </c>
      <c r="F297">
        <v>22</v>
      </c>
    </row>
    <row r="298" spans="1:6" x14ac:dyDescent="0.25">
      <c r="A298" t="s">
        <v>595</v>
      </c>
      <c r="B298" t="s">
        <v>596</v>
      </c>
      <c r="C298" t="s">
        <v>17</v>
      </c>
      <c r="D298" t="s">
        <v>29</v>
      </c>
      <c r="E298" t="s">
        <v>24</v>
      </c>
      <c r="F298">
        <v>40</v>
      </c>
    </row>
    <row r="299" spans="1:6" x14ac:dyDescent="0.25">
      <c r="A299" t="s">
        <v>597</v>
      </c>
      <c r="B299" t="s">
        <v>598</v>
      </c>
      <c r="C299" t="s">
        <v>17</v>
      </c>
      <c r="D299" t="s">
        <v>23</v>
      </c>
      <c r="E299" t="s">
        <v>19</v>
      </c>
      <c r="F299">
        <v>27</v>
      </c>
    </row>
    <row r="300" spans="1:6" x14ac:dyDescent="0.25">
      <c r="A300" t="s">
        <v>599</v>
      </c>
      <c r="B300" t="s">
        <v>600</v>
      </c>
      <c r="C300" t="s">
        <v>32</v>
      </c>
      <c r="D300" t="s">
        <v>23</v>
      </c>
      <c r="E300" t="s">
        <v>19</v>
      </c>
      <c r="F300">
        <v>61</v>
      </c>
    </row>
    <row r="301" spans="1:6" x14ac:dyDescent="0.25">
      <c r="A301" t="s">
        <v>601</v>
      </c>
      <c r="B301" t="s">
        <v>602</v>
      </c>
      <c r="C301" t="s">
        <v>22</v>
      </c>
      <c r="D301" t="s">
        <v>29</v>
      </c>
      <c r="E301" t="s">
        <v>24</v>
      </c>
      <c r="F301">
        <v>19</v>
      </c>
    </row>
    <row r="302" spans="1:6" x14ac:dyDescent="0.25">
      <c r="A302" t="s">
        <v>603</v>
      </c>
      <c r="B302" t="s">
        <v>604</v>
      </c>
      <c r="C302" t="s">
        <v>17</v>
      </c>
      <c r="D302" t="s">
        <v>18</v>
      </c>
      <c r="E302" t="s">
        <v>19</v>
      </c>
      <c r="F302">
        <v>30</v>
      </c>
    </row>
    <row r="303" spans="1:6" x14ac:dyDescent="0.25">
      <c r="A303" t="s">
        <v>605</v>
      </c>
      <c r="B303" t="s">
        <v>472</v>
      </c>
      <c r="C303" t="s">
        <v>32</v>
      </c>
      <c r="D303" t="s">
        <v>29</v>
      </c>
      <c r="E303" t="s">
        <v>19</v>
      </c>
      <c r="F303">
        <v>57</v>
      </c>
    </row>
    <row r="304" spans="1:6" x14ac:dyDescent="0.25">
      <c r="A304" t="s">
        <v>606</v>
      </c>
      <c r="B304" t="s">
        <v>607</v>
      </c>
      <c r="C304" t="s">
        <v>32</v>
      </c>
      <c r="D304" t="s">
        <v>23</v>
      </c>
      <c r="E304" t="s">
        <v>19</v>
      </c>
      <c r="F304">
        <v>19</v>
      </c>
    </row>
    <row r="305" spans="1:6" x14ac:dyDescent="0.25">
      <c r="A305" t="s">
        <v>608</v>
      </c>
      <c r="B305" t="s">
        <v>609</v>
      </c>
      <c r="C305" t="s">
        <v>17</v>
      </c>
      <c r="D305" t="s">
        <v>23</v>
      </c>
      <c r="E305" t="s">
        <v>24</v>
      </c>
      <c r="F305">
        <v>37</v>
      </c>
    </row>
    <row r="306" spans="1:6" x14ac:dyDescent="0.25">
      <c r="A306" t="s">
        <v>610</v>
      </c>
      <c r="B306" t="s">
        <v>510</v>
      </c>
      <c r="C306" t="s">
        <v>37</v>
      </c>
      <c r="D306" t="s">
        <v>23</v>
      </c>
      <c r="E306" t="s">
        <v>24</v>
      </c>
      <c r="F306">
        <v>18</v>
      </c>
    </row>
    <row r="307" spans="1:6" x14ac:dyDescent="0.25">
      <c r="A307" t="s">
        <v>611</v>
      </c>
      <c r="B307" t="s">
        <v>43</v>
      </c>
      <c r="C307" t="s">
        <v>37</v>
      </c>
      <c r="D307" t="s">
        <v>23</v>
      </c>
      <c r="E307" t="s">
        <v>19</v>
      </c>
      <c r="F307">
        <v>54</v>
      </c>
    </row>
    <row r="308" spans="1:6" x14ac:dyDescent="0.25">
      <c r="A308" t="s">
        <v>612</v>
      </c>
      <c r="B308" t="s">
        <v>613</v>
      </c>
      <c r="C308" t="s">
        <v>32</v>
      </c>
      <c r="D308" t="s">
        <v>29</v>
      </c>
      <c r="E308" t="s">
        <v>24</v>
      </c>
      <c r="F308">
        <v>26</v>
      </c>
    </row>
    <row r="309" spans="1:6" x14ac:dyDescent="0.25">
      <c r="A309" t="s">
        <v>614</v>
      </c>
      <c r="B309" t="s">
        <v>212</v>
      </c>
      <c r="C309" t="s">
        <v>32</v>
      </c>
      <c r="D309" t="s">
        <v>23</v>
      </c>
      <c r="E309" t="s">
        <v>24</v>
      </c>
      <c r="F309">
        <v>34</v>
      </c>
    </row>
    <row r="310" spans="1:6" x14ac:dyDescent="0.25">
      <c r="A310" t="s">
        <v>615</v>
      </c>
      <c r="B310" t="s">
        <v>616</v>
      </c>
      <c r="C310" t="s">
        <v>17</v>
      </c>
      <c r="D310" t="s">
        <v>29</v>
      </c>
      <c r="E310" t="s">
        <v>24</v>
      </c>
      <c r="F310">
        <v>26</v>
      </c>
    </row>
    <row r="311" spans="1:6" x14ac:dyDescent="0.25">
      <c r="A311" t="s">
        <v>617</v>
      </c>
      <c r="B311" t="s">
        <v>618</v>
      </c>
      <c r="C311" t="s">
        <v>37</v>
      </c>
      <c r="D311" t="s">
        <v>18</v>
      </c>
      <c r="E311" t="s">
        <v>24</v>
      </c>
      <c r="F311">
        <v>28</v>
      </c>
    </row>
    <row r="312" spans="1:6" x14ac:dyDescent="0.25">
      <c r="A312" t="s">
        <v>619</v>
      </c>
      <c r="B312" t="s">
        <v>620</v>
      </c>
      <c r="C312" t="s">
        <v>22</v>
      </c>
      <c r="D312" t="s">
        <v>18</v>
      </c>
      <c r="E312" t="s">
        <v>24</v>
      </c>
      <c r="F312">
        <v>32</v>
      </c>
    </row>
    <row r="313" spans="1:6" x14ac:dyDescent="0.25">
      <c r="A313" t="s">
        <v>621</v>
      </c>
      <c r="B313" t="s">
        <v>622</v>
      </c>
      <c r="C313" t="s">
        <v>37</v>
      </c>
      <c r="D313" t="s">
        <v>23</v>
      </c>
      <c r="E313" t="s">
        <v>19</v>
      </c>
      <c r="F313">
        <v>41</v>
      </c>
    </row>
    <row r="314" spans="1:6" x14ac:dyDescent="0.25">
      <c r="A314" t="s">
        <v>623</v>
      </c>
      <c r="B314" t="s">
        <v>624</v>
      </c>
      <c r="C314" t="s">
        <v>32</v>
      </c>
      <c r="D314" t="s">
        <v>23</v>
      </c>
      <c r="E314" t="s">
        <v>24</v>
      </c>
      <c r="F314">
        <v>55</v>
      </c>
    </row>
    <row r="315" spans="1:6" x14ac:dyDescent="0.25">
      <c r="A315" t="s">
        <v>625</v>
      </c>
      <c r="B315" t="s">
        <v>626</v>
      </c>
      <c r="C315" t="s">
        <v>17</v>
      </c>
      <c r="D315" t="s">
        <v>23</v>
      </c>
      <c r="E315" t="s">
        <v>19</v>
      </c>
      <c r="F315">
        <v>52</v>
      </c>
    </row>
    <row r="316" spans="1:6" x14ac:dyDescent="0.25">
      <c r="A316" t="s">
        <v>627</v>
      </c>
      <c r="B316" t="s">
        <v>45</v>
      </c>
      <c r="C316" t="s">
        <v>17</v>
      </c>
      <c r="D316" t="s">
        <v>23</v>
      </c>
      <c r="E316" t="s">
        <v>19</v>
      </c>
      <c r="F316">
        <v>47</v>
      </c>
    </row>
    <row r="317" spans="1:6" x14ac:dyDescent="0.25">
      <c r="A317" t="s">
        <v>628</v>
      </c>
      <c r="B317" t="s">
        <v>629</v>
      </c>
      <c r="C317" t="s">
        <v>32</v>
      </c>
      <c r="D317" t="s">
        <v>23</v>
      </c>
      <c r="E317" t="s">
        <v>24</v>
      </c>
      <c r="F317">
        <v>48</v>
      </c>
    </row>
    <row r="318" spans="1:6" x14ac:dyDescent="0.25">
      <c r="A318" t="s">
        <v>630</v>
      </c>
      <c r="B318" t="s">
        <v>631</v>
      </c>
      <c r="C318" t="s">
        <v>32</v>
      </c>
      <c r="D318" t="s">
        <v>23</v>
      </c>
      <c r="E318" t="s">
        <v>19</v>
      </c>
      <c r="F318">
        <v>22</v>
      </c>
    </row>
    <row r="319" spans="1:6" x14ac:dyDescent="0.25">
      <c r="A319" t="s">
        <v>632</v>
      </c>
      <c r="B319" t="s">
        <v>633</v>
      </c>
      <c r="C319" t="s">
        <v>17</v>
      </c>
      <c r="D319" t="s">
        <v>29</v>
      </c>
      <c r="E319" t="s">
        <v>19</v>
      </c>
      <c r="F319">
        <v>61</v>
      </c>
    </row>
    <row r="320" spans="1:6" x14ac:dyDescent="0.25">
      <c r="A320" t="s">
        <v>634</v>
      </c>
      <c r="B320" t="s">
        <v>635</v>
      </c>
      <c r="C320" t="s">
        <v>32</v>
      </c>
      <c r="D320" t="s">
        <v>23</v>
      </c>
      <c r="E320" t="s">
        <v>19</v>
      </c>
      <c r="F320">
        <v>31</v>
      </c>
    </row>
    <row r="321" spans="1:6" x14ac:dyDescent="0.25">
      <c r="A321" t="s">
        <v>636</v>
      </c>
      <c r="B321" t="s">
        <v>637</v>
      </c>
      <c r="C321" t="s">
        <v>37</v>
      </c>
      <c r="D321" t="s">
        <v>18</v>
      </c>
      <c r="E321" t="s">
        <v>24</v>
      </c>
      <c r="F321">
        <v>28</v>
      </c>
    </row>
    <row r="322" spans="1:6" x14ac:dyDescent="0.25">
      <c r="A322" t="s">
        <v>638</v>
      </c>
      <c r="B322" t="s">
        <v>639</v>
      </c>
      <c r="C322" t="s">
        <v>22</v>
      </c>
      <c r="D322" t="s">
        <v>23</v>
      </c>
      <c r="E322" t="s">
        <v>24</v>
      </c>
      <c r="F322">
        <v>26</v>
      </c>
    </row>
    <row r="323" spans="1:6" x14ac:dyDescent="0.25">
      <c r="A323" t="s">
        <v>640</v>
      </c>
      <c r="B323" t="s">
        <v>641</v>
      </c>
      <c r="C323" t="s">
        <v>22</v>
      </c>
      <c r="D323" t="s">
        <v>23</v>
      </c>
      <c r="E323" t="s">
        <v>19</v>
      </c>
      <c r="F323">
        <v>51</v>
      </c>
    </row>
    <row r="324" spans="1:6" x14ac:dyDescent="0.25">
      <c r="A324" t="s">
        <v>642</v>
      </c>
      <c r="B324" t="s">
        <v>643</v>
      </c>
      <c r="C324" t="s">
        <v>17</v>
      </c>
      <c r="D324" t="s">
        <v>23</v>
      </c>
      <c r="E324" t="s">
        <v>24</v>
      </c>
      <c r="F324">
        <v>29</v>
      </c>
    </row>
    <row r="325" spans="1:6" x14ac:dyDescent="0.25">
      <c r="A325" t="s">
        <v>644</v>
      </c>
      <c r="B325" t="s">
        <v>645</v>
      </c>
      <c r="C325" t="s">
        <v>37</v>
      </c>
      <c r="D325" t="s">
        <v>23</v>
      </c>
      <c r="E325" t="s">
        <v>24</v>
      </c>
      <c r="F325">
        <v>52</v>
      </c>
    </row>
    <row r="326" spans="1:6" x14ac:dyDescent="0.25">
      <c r="A326" t="s">
        <v>646</v>
      </c>
      <c r="B326" t="s">
        <v>647</v>
      </c>
      <c r="C326" t="s">
        <v>22</v>
      </c>
      <c r="D326" t="s">
        <v>23</v>
      </c>
      <c r="E326" t="s">
        <v>24</v>
      </c>
      <c r="F326">
        <v>52</v>
      </c>
    </row>
    <row r="327" spans="1:6" x14ac:dyDescent="0.25">
      <c r="A327" t="s">
        <v>648</v>
      </c>
      <c r="B327" t="s">
        <v>649</v>
      </c>
      <c r="C327" t="s">
        <v>37</v>
      </c>
      <c r="D327" t="s">
        <v>18</v>
      </c>
      <c r="E327" t="s">
        <v>24</v>
      </c>
      <c r="F327">
        <v>18</v>
      </c>
    </row>
    <row r="328" spans="1:6" x14ac:dyDescent="0.25">
      <c r="A328" t="s">
        <v>650</v>
      </c>
      <c r="B328" t="s">
        <v>651</v>
      </c>
      <c r="C328" t="s">
        <v>22</v>
      </c>
      <c r="D328" t="s">
        <v>23</v>
      </c>
      <c r="E328" t="s">
        <v>19</v>
      </c>
      <c r="F328">
        <v>57</v>
      </c>
    </row>
    <row r="329" spans="1:6" x14ac:dyDescent="0.25">
      <c r="A329" t="s">
        <v>652</v>
      </c>
      <c r="B329" t="s">
        <v>653</v>
      </c>
      <c r="C329" t="s">
        <v>32</v>
      </c>
      <c r="D329" t="s">
        <v>23</v>
      </c>
      <c r="E329" t="s">
        <v>19</v>
      </c>
      <c r="F329">
        <v>39</v>
      </c>
    </row>
    <row r="330" spans="1:6" x14ac:dyDescent="0.25">
      <c r="A330" t="s">
        <v>654</v>
      </c>
      <c r="B330" t="s">
        <v>655</v>
      </c>
      <c r="C330" t="s">
        <v>17</v>
      </c>
      <c r="D330" t="s">
        <v>29</v>
      </c>
      <c r="E330" t="s">
        <v>24</v>
      </c>
      <c r="F330">
        <v>46</v>
      </c>
    </row>
    <row r="331" spans="1:6" x14ac:dyDescent="0.25">
      <c r="A331" t="s">
        <v>656</v>
      </c>
      <c r="B331" t="s">
        <v>657</v>
      </c>
      <c r="C331" t="s">
        <v>17</v>
      </c>
      <c r="D331" t="s">
        <v>23</v>
      </c>
      <c r="E331" t="s">
        <v>24</v>
      </c>
      <c r="F331">
        <v>25</v>
      </c>
    </row>
    <row r="332" spans="1:6" x14ac:dyDescent="0.25">
      <c r="A332" t="s">
        <v>658</v>
      </c>
      <c r="B332" t="s">
        <v>659</v>
      </c>
      <c r="C332" t="s">
        <v>32</v>
      </c>
      <c r="D332" t="s">
        <v>29</v>
      </c>
      <c r="E332" t="s">
        <v>19</v>
      </c>
      <c r="F332">
        <v>28</v>
      </c>
    </row>
    <row r="333" spans="1:6" x14ac:dyDescent="0.25">
      <c r="A333" t="s">
        <v>660</v>
      </c>
      <c r="B333" t="s">
        <v>661</v>
      </c>
      <c r="C333" t="s">
        <v>22</v>
      </c>
      <c r="D333" t="s">
        <v>23</v>
      </c>
      <c r="E333" t="s">
        <v>19</v>
      </c>
      <c r="F333">
        <v>58</v>
      </c>
    </row>
    <row r="334" spans="1:6" x14ac:dyDescent="0.25">
      <c r="A334" t="s">
        <v>662</v>
      </c>
      <c r="B334" t="s">
        <v>663</v>
      </c>
      <c r="C334" t="s">
        <v>32</v>
      </c>
      <c r="D334" t="s">
        <v>18</v>
      </c>
      <c r="E334" t="s">
        <v>24</v>
      </c>
      <c r="F334">
        <v>54</v>
      </c>
    </row>
    <row r="335" spans="1:6" x14ac:dyDescent="0.25">
      <c r="A335" t="s">
        <v>664</v>
      </c>
      <c r="B335" t="s">
        <v>665</v>
      </c>
      <c r="C335" t="s">
        <v>37</v>
      </c>
      <c r="D335" t="s">
        <v>23</v>
      </c>
      <c r="E335" t="s">
        <v>19</v>
      </c>
      <c r="F335">
        <v>31</v>
      </c>
    </row>
    <row r="336" spans="1:6" x14ac:dyDescent="0.25">
      <c r="A336" t="s">
        <v>666</v>
      </c>
      <c r="B336" t="s">
        <v>667</v>
      </c>
      <c r="C336" t="s">
        <v>37</v>
      </c>
      <c r="D336" t="s">
        <v>23</v>
      </c>
      <c r="E336" t="s">
        <v>24</v>
      </c>
      <c r="F336">
        <v>47</v>
      </c>
    </row>
    <row r="337" spans="1:6" x14ac:dyDescent="0.25">
      <c r="A337" t="s">
        <v>668</v>
      </c>
      <c r="B337" t="s">
        <v>669</v>
      </c>
      <c r="C337" t="s">
        <v>37</v>
      </c>
      <c r="D337" t="s">
        <v>29</v>
      </c>
      <c r="E337" t="s">
        <v>24</v>
      </c>
      <c r="F337">
        <v>52</v>
      </c>
    </row>
    <row r="338" spans="1:6" x14ac:dyDescent="0.25">
      <c r="A338" t="s">
        <v>670</v>
      </c>
      <c r="B338" t="s">
        <v>264</v>
      </c>
      <c r="C338" t="s">
        <v>17</v>
      </c>
      <c r="D338" t="s">
        <v>18</v>
      </c>
      <c r="E338" t="s">
        <v>19</v>
      </c>
      <c r="F338">
        <v>38</v>
      </c>
    </row>
    <row r="339" spans="1:6" x14ac:dyDescent="0.25">
      <c r="A339" t="s">
        <v>671</v>
      </c>
      <c r="B339" t="s">
        <v>672</v>
      </c>
      <c r="C339" t="s">
        <v>32</v>
      </c>
      <c r="D339" t="s">
        <v>23</v>
      </c>
      <c r="E339" t="s">
        <v>19</v>
      </c>
      <c r="F339">
        <v>54</v>
      </c>
    </row>
    <row r="340" spans="1:6" x14ac:dyDescent="0.25">
      <c r="A340" t="s">
        <v>673</v>
      </c>
      <c r="B340" t="s">
        <v>674</v>
      </c>
      <c r="C340" t="s">
        <v>37</v>
      </c>
      <c r="D340" t="s">
        <v>29</v>
      </c>
      <c r="E340" t="s">
        <v>24</v>
      </c>
      <c r="F340">
        <v>22</v>
      </c>
    </row>
    <row r="341" spans="1:6" x14ac:dyDescent="0.25">
      <c r="A341" t="s">
        <v>675</v>
      </c>
      <c r="B341" t="s">
        <v>676</v>
      </c>
      <c r="C341" t="s">
        <v>22</v>
      </c>
      <c r="D341" t="s">
        <v>23</v>
      </c>
      <c r="E341" t="s">
        <v>24</v>
      </c>
      <c r="F341">
        <v>36</v>
      </c>
    </row>
    <row r="342" spans="1:6" x14ac:dyDescent="0.25">
      <c r="A342" t="s">
        <v>677</v>
      </c>
      <c r="B342" t="s">
        <v>472</v>
      </c>
      <c r="C342" t="s">
        <v>17</v>
      </c>
      <c r="D342" t="s">
        <v>23</v>
      </c>
      <c r="E342" t="s">
        <v>19</v>
      </c>
      <c r="F342">
        <v>31</v>
      </c>
    </row>
    <row r="343" spans="1:6" x14ac:dyDescent="0.25">
      <c r="A343" t="s">
        <v>678</v>
      </c>
      <c r="B343" t="s">
        <v>679</v>
      </c>
      <c r="C343" t="s">
        <v>37</v>
      </c>
      <c r="D343" t="s">
        <v>23</v>
      </c>
      <c r="E343" t="s">
        <v>24</v>
      </c>
      <c r="F343">
        <v>43</v>
      </c>
    </row>
    <row r="344" spans="1:6" x14ac:dyDescent="0.25">
      <c r="A344" t="s">
        <v>680</v>
      </c>
      <c r="B344" t="s">
        <v>681</v>
      </c>
      <c r="C344" t="s">
        <v>22</v>
      </c>
      <c r="D344" t="s">
        <v>29</v>
      </c>
      <c r="E344" t="s">
        <v>19</v>
      </c>
      <c r="F344">
        <v>21</v>
      </c>
    </row>
    <row r="345" spans="1:6" x14ac:dyDescent="0.25">
      <c r="A345" t="s">
        <v>682</v>
      </c>
      <c r="B345" t="s">
        <v>683</v>
      </c>
      <c r="C345" t="s">
        <v>32</v>
      </c>
      <c r="D345" t="s">
        <v>23</v>
      </c>
      <c r="E345" t="s">
        <v>24</v>
      </c>
      <c r="F345">
        <v>42</v>
      </c>
    </row>
    <row r="346" spans="1:6" x14ac:dyDescent="0.25">
      <c r="A346" t="s">
        <v>684</v>
      </c>
      <c r="B346" t="s">
        <v>685</v>
      </c>
      <c r="C346" t="s">
        <v>37</v>
      </c>
      <c r="D346" t="s">
        <v>29</v>
      </c>
      <c r="E346" t="s">
        <v>19</v>
      </c>
      <c r="F346">
        <v>62</v>
      </c>
    </row>
    <row r="347" spans="1:6" x14ac:dyDescent="0.25">
      <c r="A347" t="s">
        <v>686</v>
      </c>
      <c r="B347" t="s">
        <v>415</v>
      </c>
      <c r="C347" t="s">
        <v>32</v>
      </c>
      <c r="D347" t="s">
        <v>23</v>
      </c>
      <c r="E347" t="s">
        <v>19</v>
      </c>
      <c r="F347">
        <v>59</v>
      </c>
    </row>
    <row r="348" spans="1:6" x14ac:dyDescent="0.25">
      <c r="A348" t="s">
        <v>687</v>
      </c>
      <c r="B348" t="s">
        <v>688</v>
      </c>
      <c r="C348" t="s">
        <v>22</v>
      </c>
      <c r="D348" t="s">
        <v>18</v>
      </c>
      <c r="E348" t="s">
        <v>19</v>
      </c>
      <c r="F348">
        <v>42</v>
      </c>
    </row>
    <row r="349" spans="1:6" x14ac:dyDescent="0.25">
      <c r="A349" t="s">
        <v>689</v>
      </c>
      <c r="B349" t="s">
        <v>690</v>
      </c>
      <c r="C349" t="s">
        <v>22</v>
      </c>
      <c r="D349" t="s">
        <v>18</v>
      </c>
      <c r="E349" t="s">
        <v>24</v>
      </c>
      <c r="F349">
        <v>35</v>
      </c>
    </row>
    <row r="350" spans="1:6" x14ac:dyDescent="0.25">
      <c r="A350" t="s">
        <v>691</v>
      </c>
      <c r="B350" t="s">
        <v>692</v>
      </c>
      <c r="C350" t="s">
        <v>22</v>
      </c>
      <c r="D350" t="s">
        <v>23</v>
      </c>
      <c r="E350" t="s">
        <v>24</v>
      </c>
      <c r="F350">
        <v>57</v>
      </c>
    </row>
    <row r="351" spans="1:6" x14ac:dyDescent="0.25">
      <c r="A351" t="s">
        <v>693</v>
      </c>
      <c r="B351" t="s">
        <v>694</v>
      </c>
      <c r="C351" t="s">
        <v>17</v>
      </c>
      <c r="D351" t="s">
        <v>23</v>
      </c>
      <c r="E351" t="s">
        <v>19</v>
      </c>
      <c r="F351">
        <v>25</v>
      </c>
    </row>
    <row r="352" spans="1:6" x14ac:dyDescent="0.25">
      <c r="A352" t="s">
        <v>695</v>
      </c>
      <c r="B352" t="s">
        <v>696</v>
      </c>
      <c r="C352" t="s">
        <v>37</v>
      </c>
      <c r="D352" t="s">
        <v>23</v>
      </c>
      <c r="E352" t="s">
        <v>24</v>
      </c>
      <c r="F352">
        <v>56</v>
      </c>
    </row>
    <row r="353" spans="1:6" x14ac:dyDescent="0.25">
      <c r="A353" t="s">
        <v>697</v>
      </c>
      <c r="B353" t="s">
        <v>698</v>
      </c>
      <c r="C353" t="s">
        <v>37</v>
      </c>
      <c r="D353" t="s">
        <v>18</v>
      </c>
      <c r="E353" t="s">
        <v>19</v>
      </c>
      <c r="F353">
        <v>57</v>
      </c>
    </row>
    <row r="354" spans="1:6" x14ac:dyDescent="0.25">
      <c r="A354" t="s">
        <v>699</v>
      </c>
      <c r="B354" t="s">
        <v>179</v>
      </c>
      <c r="C354" t="s">
        <v>22</v>
      </c>
      <c r="D354" t="s">
        <v>23</v>
      </c>
      <c r="E354" t="s">
        <v>19</v>
      </c>
      <c r="F354">
        <v>31</v>
      </c>
    </row>
    <row r="355" spans="1:6" x14ac:dyDescent="0.25">
      <c r="A355" t="s">
        <v>700</v>
      </c>
      <c r="B355" t="s">
        <v>701</v>
      </c>
      <c r="C355" t="s">
        <v>22</v>
      </c>
      <c r="D355" t="s">
        <v>29</v>
      </c>
      <c r="E355" t="s">
        <v>24</v>
      </c>
      <c r="F355">
        <v>49</v>
      </c>
    </row>
    <row r="356" spans="1:6" x14ac:dyDescent="0.25">
      <c r="A356" t="s">
        <v>702</v>
      </c>
      <c r="B356" t="s">
        <v>703</v>
      </c>
      <c r="C356" t="s">
        <v>37</v>
      </c>
      <c r="D356" t="s">
        <v>23</v>
      </c>
      <c r="E356" t="s">
        <v>24</v>
      </c>
      <c r="F356">
        <v>55</v>
      </c>
    </row>
    <row r="357" spans="1:6" x14ac:dyDescent="0.25">
      <c r="A357" t="s">
        <v>704</v>
      </c>
      <c r="B357" t="s">
        <v>705</v>
      </c>
      <c r="C357" t="s">
        <v>17</v>
      </c>
      <c r="D357" t="s">
        <v>29</v>
      </c>
      <c r="E357" t="s">
        <v>19</v>
      </c>
      <c r="F357">
        <v>50</v>
      </c>
    </row>
    <row r="358" spans="1:6" x14ac:dyDescent="0.25">
      <c r="A358" t="s">
        <v>706</v>
      </c>
      <c r="B358" t="s">
        <v>36</v>
      </c>
      <c r="C358" t="s">
        <v>32</v>
      </c>
      <c r="D358" t="s">
        <v>23</v>
      </c>
      <c r="E358" t="s">
        <v>24</v>
      </c>
      <c r="F358">
        <v>40</v>
      </c>
    </row>
    <row r="359" spans="1:6" x14ac:dyDescent="0.25">
      <c r="A359" t="s">
        <v>707</v>
      </c>
      <c r="B359" t="s">
        <v>708</v>
      </c>
      <c r="C359" t="s">
        <v>22</v>
      </c>
      <c r="D359" t="s">
        <v>29</v>
      </c>
      <c r="E359" t="s">
        <v>24</v>
      </c>
      <c r="F359">
        <v>32</v>
      </c>
    </row>
    <row r="360" spans="1:6" x14ac:dyDescent="0.25">
      <c r="A360" t="s">
        <v>709</v>
      </c>
      <c r="B360" t="s">
        <v>710</v>
      </c>
      <c r="C360" t="s">
        <v>32</v>
      </c>
      <c r="D360" t="s">
        <v>18</v>
      </c>
      <c r="E360" t="s">
        <v>19</v>
      </c>
      <c r="F360">
        <v>50</v>
      </c>
    </row>
    <row r="361" spans="1:6" x14ac:dyDescent="0.25">
      <c r="A361" t="s">
        <v>711</v>
      </c>
      <c r="B361" t="s">
        <v>712</v>
      </c>
      <c r="C361" t="s">
        <v>17</v>
      </c>
      <c r="D361" t="s">
        <v>23</v>
      </c>
      <c r="E361" t="s">
        <v>19</v>
      </c>
      <c r="F361">
        <v>42</v>
      </c>
    </row>
    <row r="362" spans="1:6" x14ac:dyDescent="0.25">
      <c r="A362" t="s">
        <v>713</v>
      </c>
      <c r="B362" t="s">
        <v>714</v>
      </c>
      <c r="C362" t="s">
        <v>32</v>
      </c>
      <c r="D362" t="s">
        <v>18</v>
      </c>
      <c r="E362" t="s">
        <v>24</v>
      </c>
      <c r="F362">
        <v>34</v>
      </c>
    </row>
    <row r="363" spans="1:6" x14ac:dyDescent="0.25">
      <c r="A363" t="s">
        <v>715</v>
      </c>
      <c r="B363" t="s">
        <v>470</v>
      </c>
      <c r="C363" t="s">
        <v>22</v>
      </c>
      <c r="D363" t="s">
        <v>23</v>
      </c>
      <c r="E363" t="s">
        <v>19</v>
      </c>
      <c r="F363">
        <v>50</v>
      </c>
    </row>
    <row r="364" spans="1:6" x14ac:dyDescent="0.25">
      <c r="A364" t="s">
        <v>716</v>
      </c>
      <c r="B364" t="s">
        <v>717</v>
      </c>
      <c r="C364" t="s">
        <v>32</v>
      </c>
      <c r="D364" t="s">
        <v>23</v>
      </c>
      <c r="E364" t="s">
        <v>19</v>
      </c>
      <c r="F364">
        <v>64</v>
      </c>
    </row>
    <row r="365" spans="1:6" x14ac:dyDescent="0.25">
      <c r="A365" t="s">
        <v>718</v>
      </c>
      <c r="B365" t="s">
        <v>719</v>
      </c>
      <c r="C365" t="s">
        <v>17</v>
      </c>
      <c r="D365" t="s">
        <v>18</v>
      </c>
      <c r="E365" t="s">
        <v>24</v>
      </c>
      <c r="F365">
        <v>19</v>
      </c>
    </row>
    <row r="366" spans="1:6" x14ac:dyDescent="0.25">
      <c r="A366" t="s">
        <v>720</v>
      </c>
      <c r="B366" t="s">
        <v>649</v>
      </c>
      <c r="C366" t="s">
        <v>22</v>
      </c>
      <c r="D366" t="s">
        <v>29</v>
      </c>
      <c r="E366" t="s">
        <v>19</v>
      </c>
      <c r="F366">
        <v>31</v>
      </c>
    </row>
    <row r="367" spans="1:6" x14ac:dyDescent="0.25">
      <c r="A367" t="s">
        <v>721</v>
      </c>
      <c r="B367" t="s">
        <v>722</v>
      </c>
      <c r="C367" t="s">
        <v>32</v>
      </c>
      <c r="D367" t="s">
        <v>29</v>
      </c>
      <c r="E367" t="s">
        <v>19</v>
      </c>
      <c r="F367">
        <v>57</v>
      </c>
    </row>
    <row r="368" spans="1:6" x14ac:dyDescent="0.25">
      <c r="A368" t="s">
        <v>723</v>
      </c>
      <c r="B368" t="s">
        <v>335</v>
      </c>
      <c r="C368" t="s">
        <v>17</v>
      </c>
      <c r="D368" t="s">
        <v>23</v>
      </c>
      <c r="E368" t="s">
        <v>24</v>
      </c>
      <c r="F368">
        <v>57</v>
      </c>
    </row>
    <row r="369" spans="1:6" x14ac:dyDescent="0.25">
      <c r="A369" t="s">
        <v>724</v>
      </c>
      <c r="B369" t="s">
        <v>725</v>
      </c>
      <c r="C369" t="s">
        <v>17</v>
      </c>
      <c r="D369" t="s">
        <v>23</v>
      </c>
      <c r="E369" t="s">
        <v>24</v>
      </c>
      <c r="F369">
        <v>56</v>
      </c>
    </row>
    <row r="370" spans="1:6" x14ac:dyDescent="0.25">
      <c r="A370" t="s">
        <v>726</v>
      </c>
      <c r="B370" t="s">
        <v>629</v>
      </c>
      <c r="C370" t="s">
        <v>17</v>
      </c>
      <c r="D370" t="s">
        <v>23</v>
      </c>
      <c r="E370" t="s">
        <v>19</v>
      </c>
      <c r="F370">
        <v>23</v>
      </c>
    </row>
    <row r="371" spans="1:6" x14ac:dyDescent="0.25">
      <c r="A371" t="s">
        <v>727</v>
      </c>
      <c r="B371" t="s">
        <v>561</v>
      </c>
      <c r="C371" t="s">
        <v>22</v>
      </c>
      <c r="D371" t="s">
        <v>29</v>
      </c>
      <c r="E371" t="s">
        <v>19</v>
      </c>
      <c r="F371">
        <v>23</v>
      </c>
    </row>
    <row r="372" spans="1:6" x14ac:dyDescent="0.25">
      <c r="A372" t="s">
        <v>728</v>
      </c>
      <c r="B372" t="s">
        <v>729</v>
      </c>
      <c r="C372" t="s">
        <v>17</v>
      </c>
      <c r="D372" t="s">
        <v>23</v>
      </c>
      <c r="E372" t="s">
        <v>24</v>
      </c>
      <c r="F372">
        <v>20</v>
      </c>
    </row>
    <row r="373" spans="1:6" x14ac:dyDescent="0.25">
      <c r="A373" t="s">
        <v>730</v>
      </c>
      <c r="B373" t="s">
        <v>731</v>
      </c>
      <c r="C373" t="s">
        <v>37</v>
      </c>
      <c r="D373" t="s">
        <v>23</v>
      </c>
      <c r="E373" t="s">
        <v>24</v>
      </c>
      <c r="F373">
        <v>24</v>
      </c>
    </row>
    <row r="374" spans="1:6" x14ac:dyDescent="0.25">
      <c r="A374" t="s">
        <v>732</v>
      </c>
      <c r="B374" t="s">
        <v>733</v>
      </c>
      <c r="C374" t="s">
        <v>22</v>
      </c>
      <c r="D374" t="s">
        <v>23</v>
      </c>
      <c r="E374" t="s">
        <v>24</v>
      </c>
      <c r="F374">
        <v>25</v>
      </c>
    </row>
    <row r="375" spans="1:6" x14ac:dyDescent="0.25">
      <c r="A375" t="s">
        <v>734</v>
      </c>
      <c r="B375" t="s">
        <v>735</v>
      </c>
      <c r="C375" t="s">
        <v>37</v>
      </c>
      <c r="D375" t="s">
        <v>23</v>
      </c>
      <c r="E375" t="s">
        <v>24</v>
      </c>
      <c r="F375">
        <v>59</v>
      </c>
    </row>
    <row r="376" spans="1:6" x14ac:dyDescent="0.25">
      <c r="A376" t="s">
        <v>736</v>
      </c>
      <c r="B376" t="s">
        <v>737</v>
      </c>
      <c r="C376" t="s">
        <v>37</v>
      </c>
      <c r="D376" t="s">
        <v>23</v>
      </c>
      <c r="E376" t="s">
        <v>19</v>
      </c>
      <c r="F376">
        <v>32</v>
      </c>
    </row>
    <row r="377" spans="1:6" x14ac:dyDescent="0.25">
      <c r="A377" t="s">
        <v>738</v>
      </c>
      <c r="B377" t="s">
        <v>739</v>
      </c>
      <c r="C377" t="s">
        <v>17</v>
      </c>
      <c r="D377" t="s">
        <v>23</v>
      </c>
      <c r="E377" t="s">
        <v>24</v>
      </c>
      <c r="F377">
        <v>64</v>
      </c>
    </row>
    <row r="378" spans="1:6" x14ac:dyDescent="0.25">
      <c r="A378" t="s">
        <v>740</v>
      </c>
      <c r="B378" t="s">
        <v>741</v>
      </c>
      <c r="C378" t="s">
        <v>32</v>
      </c>
      <c r="D378" t="s">
        <v>18</v>
      </c>
      <c r="E378" t="s">
        <v>24</v>
      </c>
      <c r="F378">
        <v>46</v>
      </c>
    </row>
    <row r="379" spans="1:6" x14ac:dyDescent="0.25">
      <c r="A379" t="s">
        <v>742</v>
      </c>
      <c r="B379" t="s">
        <v>53</v>
      </c>
      <c r="C379" t="s">
        <v>37</v>
      </c>
      <c r="D379" t="s">
        <v>29</v>
      </c>
      <c r="E379" t="s">
        <v>19</v>
      </c>
      <c r="F379">
        <v>50</v>
      </c>
    </row>
    <row r="380" spans="1:6" x14ac:dyDescent="0.25">
      <c r="A380" t="s">
        <v>743</v>
      </c>
      <c r="B380" t="s">
        <v>744</v>
      </c>
      <c r="C380" t="s">
        <v>32</v>
      </c>
      <c r="D380" t="s">
        <v>23</v>
      </c>
      <c r="E380" t="s">
        <v>24</v>
      </c>
      <c r="F380">
        <v>47</v>
      </c>
    </row>
    <row r="381" spans="1:6" x14ac:dyDescent="0.25">
      <c r="A381" t="s">
        <v>745</v>
      </c>
      <c r="B381" t="s">
        <v>746</v>
      </c>
      <c r="C381" t="s">
        <v>22</v>
      </c>
      <c r="D381" t="s">
        <v>29</v>
      </c>
      <c r="E381" t="s">
        <v>19</v>
      </c>
      <c r="F381">
        <v>56</v>
      </c>
    </row>
    <row r="382" spans="1:6" x14ac:dyDescent="0.25">
      <c r="A382" t="s">
        <v>747</v>
      </c>
      <c r="B382" t="s">
        <v>305</v>
      </c>
      <c r="C382" t="s">
        <v>22</v>
      </c>
      <c r="D382" t="s">
        <v>18</v>
      </c>
      <c r="E382" t="s">
        <v>24</v>
      </c>
      <c r="F382">
        <v>44</v>
      </c>
    </row>
    <row r="383" spans="1:6" x14ac:dyDescent="0.25">
      <c r="A383" t="s">
        <v>748</v>
      </c>
      <c r="B383" t="s">
        <v>749</v>
      </c>
      <c r="C383" t="s">
        <v>17</v>
      </c>
      <c r="D383" t="s">
        <v>23</v>
      </c>
      <c r="E383" t="s">
        <v>24</v>
      </c>
      <c r="F383">
        <v>53</v>
      </c>
    </row>
    <row r="384" spans="1:6" x14ac:dyDescent="0.25">
      <c r="A384" t="s">
        <v>750</v>
      </c>
      <c r="B384" t="s">
        <v>751</v>
      </c>
      <c r="C384" t="s">
        <v>32</v>
      </c>
      <c r="D384" t="s">
        <v>23</v>
      </c>
      <c r="E384" t="s">
        <v>24</v>
      </c>
      <c r="F384">
        <v>46</v>
      </c>
    </row>
    <row r="385" spans="1:6" x14ac:dyDescent="0.25">
      <c r="A385" t="s">
        <v>752</v>
      </c>
      <c r="B385" t="s">
        <v>753</v>
      </c>
      <c r="C385" t="s">
        <v>37</v>
      </c>
      <c r="D385" t="s">
        <v>23</v>
      </c>
      <c r="E385" t="s">
        <v>19</v>
      </c>
      <c r="F385">
        <v>55</v>
      </c>
    </row>
    <row r="386" spans="1:6" x14ac:dyDescent="0.25">
      <c r="A386" t="s">
        <v>754</v>
      </c>
      <c r="B386" t="s">
        <v>755</v>
      </c>
      <c r="C386" t="s">
        <v>37</v>
      </c>
      <c r="D386" t="s">
        <v>23</v>
      </c>
      <c r="E386" t="s">
        <v>19</v>
      </c>
      <c r="F386">
        <v>50</v>
      </c>
    </row>
    <row r="387" spans="1:6" x14ac:dyDescent="0.25">
      <c r="A387" t="s">
        <v>756</v>
      </c>
      <c r="B387" t="s">
        <v>757</v>
      </c>
      <c r="C387" t="s">
        <v>17</v>
      </c>
      <c r="D387" t="s">
        <v>29</v>
      </c>
      <c r="E387" t="s">
        <v>24</v>
      </c>
      <c r="F387">
        <v>54</v>
      </c>
    </row>
    <row r="388" spans="1:6" x14ac:dyDescent="0.25">
      <c r="A388" t="s">
        <v>758</v>
      </c>
      <c r="B388" t="s">
        <v>759</v>
      </c>
      <c r="C388" t="s">
        <v>32</v>
      </c>
      <c r="D388" t="s">
        <v>18</v>
      </c>
      <c r="E388" t="s">
        <v>19</v>
      </c>
      <c r="F388">
        <v>44</v>
      </c>
    </row>
    <row r="389" spans="1:6" x14ac:dyDescent="0.25">
      <c r="A389" t="s">
        <v>760</v>
      </c>
      <c r="B389" t="s">
        <v>761</v>
      </c>
      <c r="C389" t="s">
        <v>22</v>
      </c>
      <c r="D389" t="s">
        <v>23</v>
      </c>
      <c r="E389" t="s">
        <v>19</v>
      </c>
      <c r="F389">
        <v>50</v>
      </c>
    </row>
    <row r="390" spans="1:6" x14ac:dyDescent="0.25">
      <c r="A390" t="s">
        <v>762</v>
      </c>
      <c r="B390" t="s">
        <v>447</v>
      </c>
      <c r="C390" t="s">
        <v>37</v>
      </c>
      <c r="D390" t="s">
        <v>29</v>
      </c>
      <c r="E390" t="s">
        <v>19</v>
      </c>
      <c r="F390">
        <v>21</v>
      </c>
    </row>
    <row r="391" spans="1:6" x14ac:dyDescent="0.25">
      <c r="A391" t="s">
        <v>763</v>
      </c>
      <c r="B391" t="s">
        <v>764</v>
      </c>
      <c r="C391" t="s">
        <v>17</v>
      </c>
      <c r="D391" t="s">
        <v>23</v>
      </c>
      <c r="E391" t="s">
        <v>19</v>
      </c>
      <c r="F391">
        <v>39</v>
      </c>
    </row>
    <row r="392" spans="1:6" x14ac:dyDescent="0.25">
      <c r="A392" t="s">
        <v>765</v>
      </c>
      <c r="B392" t="s">
        <v>766</v>
      </c>
      <c r="C392" t="s">
        <v>37</v>
      </c>
      <c r="D392" t="s">
        <v>29</v>
      </c>
      <c r="E392" t="s">
        <v>19</v>
      </c>
      <c r="F392">
        <v>19</v>
      </c>
    </row>
    <row r="393" spans="1:6" x14ac:dyDescent="0.25">
      <c r="A393" t="s">
        <v>767</v>
      </c>
      <c r="B393" t="s">
        <v>768</v>
      </c>
      <c r="C393" t="s">
        <v>37</v>
      </c>
      <c r="D393" t="s">
        <v>29</v>
      </c>
      <c r="E393" t="s">
        <v>19</v>
      </c>
      <c r="F393">
        <v>27</v>
      </c>
    </row>
    <row r="394" spans="1:6" x14ac:dyDescent="0.25">
      <c r="A394" t="s">
        <v>769</v>
      </c>
      <c r="B394" t="s">
        <v>525</v>
      </c>
      <c r="C394" t="s">
        <v>17</v>
      </c>
      <c r="D394" t="s">
        <v>23</v>
      </c>
      <c r="E394" t="s">
        <v>24</v>
      </c>
      <c r="F394">
        <v>22</v>
      </c>
    </row>
    <row r="395" spans="1:6" x14ac:dyDescent="0.25">
      <c r="A395" t="s">
        <v>770</v>
      </c>
      <c r="B395" t="s">
        <v>771</v>
      </c>
      <c r="C395" t="s">
        <v>17</v>
      </c>
      <c r="D395" t="s">
        <v>23</v>
      </c>
      <c r="E395" t="s">
        <v>24</v>
      </c>
      <c r="F395">
        <v>27</v>
      </c>
    </row>
    <row r="396" spans="1:6" x14ac:dyDescent="0.25">
      <c r="A396" t="s">
        <v>772</v>
      </c>
      <c r="B396" t="s">
        <v>545</v>
      </c>
      <c r="C396" t="s">
        <v>37</v>
      </c>
      <c r="D396" t="s">
        <v>29</v>
      </c>
      <c r="E396" t="s">
        <v>19</v>
      </c>
      <c r="F396">
        <v>50</v>
      </c>
    </row>
    <row r="397" spans="1:6" x14ac:dyDescent="0.25">
      <c r="A397" t="s">
        <v>773</v>
      </c>
      <c r="B397" t="s">
        <v>774</v>
      </c>
      <c r="C397" t="s">
        <v>17</v>
      </c>
      <c r="D397" t="s">
        <v>18</v>
      </c>
      <c r="E397" t="s">
        <v>24</v>
      </c>
      <c r="F397">
        <v>55</v>
      </c>
    </row>
    <row r="398" spans="1:6" x14ac:dyDescent="0.25">
      <c r="A398" t="s">
        <v>775</v>
      </c>
      <c r="B398" t="s">
        <v>776</v>
      </c>
      <c r="C398" t="s">
        <v>32</v>
      </c>
      <c r="D398" t="s">
        <v>23</v>
      </c>
      <c r="E398" t="s">
        <v>24</v>
      </c>
      <c r="F398">
        <v>30</v>
      </c>
    </row>
    <row r="399" spans="1:6" x14ac:dyDescent="0.25">
      <c r="A399" t="s">
        <v>777</v>
      </c>
      <c r="B399" t="s">
        <v>778</v>
      </c>
      <c r="C399" t="s">
        <v>37</v>
      </c>
      <c r="D399" t="s">
        <v>23</v>
      </c>
      <c r="E399" t="s">
        <v>24</v>
      </c>
      <c r="F399">
        <v>48</v>
      </c>
    </row>
    <row r="400" spans="1:6" x14ac:dyDescent="0.25">
      <c r="A400" t="s">
        <v>779</v>
      </c>
      <c r="B400" t="s">
        <v>780</v>
      </c>
      <c r="C400" t="s">
        <v>32</v>
      </c>
      <c r="D400" t="s">
        <v>23</v>
      </c>
      <c r="E400" t="s">
        <v>24</v>
      </c>
      <c r="F400">
        <v>64</v>
      </c>
    </row>
    <row r="401" spans="1:6" x14ac:dyDescent="0.25">
      <c r="A401" t="s">
        <v>781</v>
      </c>
      <c r="B401" t="s">
        <v>782</v>
      </c>
      <c r="C401" t="s">
        <v>22</v>
      </c>
      <c r="D401" t="s">
        <v>29</v>
      </c>
      <c r="E401" t="s">
        <v>19</v>
      </c>
      <c r="F401">
        <v>53</v>
      </c>
    </row>
    <row r="402" spans="1:6" x14ac:dyDescent="0.25">
      <c r="A402" t="s">
        <v>783</v>
      </c>
      <c r="B402" t="s">
        <v>784</v>
      </c>
      <c r="C402" t="s">
        <v>22</v>
      </c>
      <c r="D402" t="s">
        <v>29</v>
      </c>
      <c r="E402" t="s">
        <v>24</v>
      </c>
      <c r="F402">
        <v>62</v>
      </c>
    </row>
    <row r="403" spans="1:6" x14ac:dyDescent="0.25">
      <c r="A403" t="s">
        <v>785</v>
      </c>
      <c r="B403" t="s">
        <v>786</v>
      </c>
      <c r="C403" t="s">
        <v>17</v>
      </c>
      <c r="D403" t="s">
        <v>29</v>
      </c>
      <c r="E403" t="s">
        <v>24</v>
      </c>
      <c r="F403">
        <v>41</v>
      </c>
    </row>
    <row r="404" spans="1:6" x14ac:dyDescent="0.25">
      <c r="A404" t="s">
        <v>787</v>
      </c>
      <c r="B404" t="s">
        <v>788</v>
      </c>
      <c r="C404" t="s">
        <v>37</v>
      </c>
      <c r="D404" t="s">
        <v>29</v>
      </c>
      <c r="E404" t="s">
        <v>19</v>
      </c>
      <c r="F404">
        <v>32</v>
      </c>
    </row>
    <row r="405" spans="1:6" x14ac:dyDescent="0.25">
      <c r="A405" t="s">
        <v>789</v>
      </c>
      <c r="B405" t="s">
        <v>790</v>
      </c>
      <c r="C405" t="s">
        <v>22</v>
      </c>
      <c r="D405" t="s">
        <v>18</v>
      </c>
      <c r="E405" t="s">
        <v>19</v>
      </c>
      <c r="F405">
        <v>46</v>
      </c>
    </row>
    <row r="406" spans="1:6" x14ac:dyDescent="0.25">
      <c r="A406" t="s">
        <v>791</v>
      </c>
      <c r="B406" t="s">
        <v>792</v>
      </c>
      <c r="C406" t="s">
        <v>17</v>
      </c>
      <c r="D406" t="s">
        <v>18</v>
      </c>
      <c r="E406" t="s">
        <v>24</v>
      </c>
      <c r="F406">
        <v>25</v>
      </c>
    </row>
    <row r="407" spans="1:6" x14ac:dyDescent="0.25">
      <c r="A407" t="s">
        <v>793</v>
      </c>
      <c r="B407" t="s">
        <v>794</v>
      </c>
      <c r="C407" t="s">
        <v>22</v>
      </c>
      <c r="D407" t="s">
        <v>23</v>
      </c>
      <c r="E407" t="s">
        <v>24</v>
      </c>
      <c r="F407">
        <v>22</v>
      </c>
    </row>
    <row r="408" spans="1:6" x14ac:dyDescent="0.25">
      <c r="A408" t="s">
        <v>795</v>
      </c>
      <c r="B408" t="s">
        <v>796</v>
      </c>
      <c r="C408" t="s">
        <v>37</v>
      </c>
      <c r="D408" t="s">
        <v>29</v>
      </c>
      <c r="E408" t="s">
        <v>24</v>
      </c>
      <c r="F408">
        <v>46</v>
      </c>
    </row>
    <row r="409" spans="1:6" x14ac:dyDescent="0.25">
      <c r="A409" t="s">
        <v>797</v>
      </c>
      <c r="B409" t="s">
        <v>113</v>
      </c>
      <c r="C409" t="s">
        <v>17</v>
      </c>
      <c r="D409" t="s">
        <v>23</v>
      </c>
      <c r="E409" t="s">
        <v>24</v>
      </c>
      <c r="F409">
        <v>64</v>
      </c>
    </row>
    <row r="410" spans="1:6" x14ac:dyDescent="0.25">
      <c r="A410" t="s">
        <v>798</v>
      </c>
      <c r="B410" t="s">
        <v>799</v>
      </c>
      <c r="C410" t="s">
        <v>37</v>
      </c>
      <c r="D410" t="s">
        <v>23</v>
      </c>
      <c r="E410" t="s">
        <v>24</v>
      </c>
      <c r="F410">
        <v>21</v>
      </c>
    </row>
    <row r="411" spans="1:6" x14ac:dyDescent="0.25">
      <c r="A411" t="s">
        <v>800</v>
      </c>
      <c r="B411" t="s">
        <v>801</v>
      </c>
      <c r="C411" t="s">
        <v>32</v>
      </c>
      <c r="D411" t="s">
        <v>18</v>
      </c>
      <c r="E411" t="s">
        <v>24</v>
      </c>
      <c r="F411">
        <v>29</v>
      </c>
    </row>
    <row r="412" spans="1:6" x14ac:dyDescent="0.25">
      <c r="A412" t="s">
        <v>802</v>
      </c>
      <c r="B412" t="s">
        <v>803</v>
      </c>
      <c r="C412" t="s">
        <v>37</v>
      </c>
      <c r="D412" t="s">
        <v>29</v>
      </c>
      <c r="E412" t="s">
        <v>19</v>
      </c>
      <c r="F412">
        <v>62</v>
      </c>
    </row>
    <row r="413" spans="1:6" x14ac:dyDescent="0.25">
      <c r="A413" t="s">
        <v>804</v>
      </c>
      <c r="B413" t="s">
        <v>805</v>
      </c>
      <c r="C413" t="s">
        <v>37</v>
      </c>
      <c r="D413" t="s">
        <v>18</v>
      </c>
      <c r="E413" t="s">
        <v>24</v>
      </c>
      <c r="F413">
        <v>19</v>
      </c>
    </row>
    <row r="414" spans="1:6" x14ac:dyDescent="0.25">
      <c r="A414" t="s">
        <v>806</v>
      </c>
      <c r="B414" t="s">
        <v>264</v>
      </c>
      <c r="C414" t="s">
        <v>37</v>
      </c>
      <c r="D414" t="s">
        <v>23</v>
      </c>
      <c r="E414" t="s">
        <v>24</v>
      </c>
      <c r="F414">
        <v>44</v>
      </c>
    </row>
    <row r="415" spans="1:6" x14ac:dyDescent="0.25">
      <c r="A415" t="s">
        <v>807</v>
      </c>
      <c r="B415" t="s">
        <v>808</v>
      </c>
      <c r="C415" t="s">
        <v>37</v>
      </c>
      <c r="D415" t="s">
        <v>29</v>
      </c>
      <c r="E415" t="s">
        <v>19</v>
      </c>
      <c r="F415">
        <v>48</v>
      </c>
    </row>
    <row r="416" spans="1:6" x14ac:dyDescent="0.25">
      <c r="A416" t="s">
        <v>809</v>
      </c>
      <c r="B416" t="s">
        <v>810</v>
      </c>
      <c r="C416" t="s">
        <v>17</v>
      </c>
      <c r="D416" t="s">
        <v>23</v>
      </c>
      <c r="E416" t="s">
        <v>19</v>
      </c>
      <c r="F416">
        <v>53</v>
      </c>
    </row>
    <row r="417" spans="1:6" x14ac:dyDescent="0.25">
      <c r="A417" t="s">
        <v>811</v>
      </c>
      <c r="B417" t="s">
        <v>812</v>
      </c>
      <c r="C417" t="s">
        <v>37</v>
      </c>
      <c r="D417" t="s">
        <v>23</v>
      </c>
      <c r="E417" t="s">
        <v>19</v>
      </c>
      <c r="F417">
        <v>53</v>
      </c>
    </row>
    <row r="418" spans="1:6" x14ac:dyDescent="0.25">
      <c r="A418" t="s">
        <v>813</v>
      </c>
      <c r="B418" t="s">
        <v>814</v>
      </c>
      <c r="C418" t="s">
        <v>32</v>
      </c>
      <c r="D418" t="s">
        <v>23</v>
      </c>
      <c r="E418" t="s">
        <v>19</v>
      </c>
      <c r="F418">
        <v>43</v>
      </c>
    </row>
    <row r="419" spans="1:6" x14ac:dyDescent="0.25">
      <c r="A419" t="s">
        <v>815</v>
      </c>
      <c r="B419" t="s">
        <v>816</v>
      </c>
      <c r="C419" t="s">
        <v>32</v>
      </c>
      <c r="D419" t="s">
        <v>29</v>
      </c>
      <c r="E419" t="s">
        <v>24</v>
      </c>
      <c r="F419">
        <v>60</v>
      </c>
    </row>
    <row r="420" spans="1:6" x14ac:dyDescent="0.25">
      <c r="A420" t="s">
        <v>817</v>
      </c>
      <c r="B420" t="s">
        <v>818</v>
      </c>
      <c r="C420" t="s">
        <v>37</v>
      </c>
      <c r="D420" t="s">
        <v>23</v>
      </c>
      <c r="E420" t="s">
        <v>24</v>
      </c>
      <c r="F420">
        <v>44</v>
      </c>
    </row>
    <row r="421" spans="1:6" x14ac:dyDescent="0.25">
      <c r="A421" t="s">
        <v>819</v>
      </c>
      <c r="B421" t="s">
        <v>820</v>
      </c>
      <c r="C421" t="s">
        <v>37</v>
      </c>
      <c r="D421" t="s">
        <v>18</v>
      </c>
      <c r="E421" t="s">
        <v>24</v>
      </c>
      <c r="F421">
        <v>22</v>
      </c>
    </row>
    <row r="422" spans="1:6" x14ac:dyDescent="0.25">
      <c r="A422" t="s">
        <v>821</v>
      </c>
      <c r="B422" t="s">
        <v>822</v>
      </c>
      <c r="C422" t="s">
        <v>32</v>
      </c>
      <c r="D422" t="s">
        <v>23</v>
      </c>
      <c r="E422" t="s">
        <v>24</v>
      </c>
      <c r="F422">
        <v>37</v>
      </c>
    </row>
    <row r="423" spans="1:6" x14ac:dyDescent="0.25">
      <c r="A423" t="s">
        <v>823</v>
      </c>
      <c r="B423" t="s">
        <v>824</v>
      </c>
      <c r="C423" t="s">
        <v>22</v>
      </c>
      <c r="D423" t="s">
        <v>23</v>
      </c>
      <c r="E423" t="s">
        <v>24</v>
      </c>
      <c r="F423">
        <v>28</v>
      </c>
    </row>
    <row r="424" spans="1:6" x14ac:dyDescent="0.25">
      <c r="A424" t="s">
        <v>825</v>
      </c>
      <c r="B424" t="s">
        <v>826</v>
      </c>
      <c r="C424" t="s">
        <v>22</v>
      </c>
      <c r="D424" t="s">
        <v>29</v>
      </c>
      <c r="E424" t="s">
        <v>24</v>
      </c>
      <c r="F424">
        <v>27</v>
      </c>
    </row>
    <row r="425" spans="1:6" x14ac:dyDescent="0.25">
      <c r="A425" t="s">
        <v>827</v>
      </c>
      <c r="B425" t="s">
        <v>828</v>
      </c>
      <c r="C425" t="s">
        <v>22</v>
      </c>
      <c r="D425" t="s">
        <v>23</v>
      </c>
      <c r="E425" t="s">
        <v>19</v>
      </c>
      <c r="F425">
        <v>57</v>
      </c>
    </row>
    <row r="426" spans="1:6" x14ac:dyDescent="0.25">
      <c r="A426" t="s">
        <v>829</v>
      </c>
      <c r="B426" t="s">
        <v>830</v>
      </c>
      <c r="C426" t="s">
        <v>22</v>
      </c>
      <c r="D426" t="s">
        <v>18</v>
      </c>
      <c r="E426" t="s">
        <v>24</v>
      </c>
      <c r="F426">
        <v>55</v>
      </c>
    </row>
    <row r="427" spans="1:6" x14ac:dyDescent="0.25">
      <c r="A427" t="s">
        <v>831</v>
      </c>
      <c r="B427" t="s">
        <v>832</v>
      </c>
      <c r="C427" t="s">
        <v>22</v>
      </c>
      <c r="D427" t="s">
        <v>29</v>
      </c>
      <c r="E427" t="s">
        <v>19</v>
      </c>
      <c r="F427">
        <v>23</v>
      </c>
    </row>
    <row r="428" spans="1:6" x14ac:dyDescent="0.25">
      <c r="A428" t="s">
        <v>833</v>
      </c>
      <c r="B428" t="s">
        <v>341</v>
      </c>
      <c r="C428" t="s">
        <v>17</v>
      </c>
      <c r="D428" t="s">
        <v>23</v>
      </c>
      <c r="E428" t="s">
        <v>19</v>
      </c>
      <c r="F428">
        <v>25</v>
      </c>
    </row>
    <row r="429" spans="1:6" x14ac:dyDescent="0.25">
      <c r="A429" t="s">
        <v>834</v>
      </c>
      <c r="B429" t="s">
        <v>488</v>
      </c>
      <c r="C429" t="s">
        <v>17</v>
      </c>
      <c r="D429" t="s">
        <v>29</v>
      </c>
      <c r="E429" t="s">
        <v>24</v>
      </c>
      <c r="F429">
        <v>40</v>
      </c>
    </row>
    <row r="430" spans="1:6" x14ac:dyDescent="0.25">
      <c r="A430" t="s">
        <v>835</v>
      </c>
      <c r="B430" t="s">
        <v>836</v>
      </c>
      <c r="C430" t="s">
        <v>32</v>
      </c>
      <c r="D430" t="s">
        <v>29</v>
      </c>
      <c r="E430" t="s">
        <v>19</v>
      </c>
      <c r="F430">
        <v>64</v>
      </c>
    </row>
    <row r="431" spans="1:6" x14ac:dyDescent="0.25">
      <c r="A431" t="s">
        <v>837</v>
      </c>
      <c r="B431" t="s">
        <v>838</v>
      </c>
      <c r="C431" t="s">
        <v>22</v>
      </c>
      <c r="D431" t="s">
        <v>29</v>
      </c>
      <c r="E431" t="s">
        <v>24</v>
      </c>
      <c r="F431">
        <v>43</v>
      </c>
    </row>
    <row r="432" spans="1:6" x14ac:dyDescent="0.25">
      <c r="A432" t="s">
        <v>839</v>
      </c>
      <c r="B432" t="s">
        <v>840</v>
      </c>
      <c r="C432" t="s">
        <v>37</v>
      </c>
      <c r="D432" t="s">
        <v>18</v>
      </c>
      <c r="E432" t="s">
        <v>19</v>
      </c>
      <c r="F432">
        <v>63</v>
      </c>
    </row>
    <row r="433" spans="1:6" x14ac:dyDescent="0.25">
      <c r="A433" t="s">
        <v>841</v>
      </c>
      <c r="B433" t="s">
        <v>842</v>
      </c>
      <c r="C433" t="s">
        <v>32</v>
      </c>
      <c r="D433" t="s">
        <v>29</v>
      </c>
      <c r="E433" t="s">
        <v>24</v>
      </c>
      <c r="F433">
        <v>60</v>
      </c>
    </row>
    <row r="434" spans="1:6" x14ac:dyDescent="0.25">
      <c r="A434" t="s">
        <v>843</v>
      </c>
      <c r="B434" t="s">
        <v>844</v>
      </c>
      <c r="C434" t="s">
        <v>17</v>
      </c>
      <c r="D434" t="s">
        <v>29</v>
      </c>
      <c r="E434" t="s">
        <v>19</v>
      </c>
      <c r="F434">
        <v>29</v>
      </c>
    </row>
    <row r="435" spans="1:6" x14ac:dyDescent="0.25">
      <c r="A435" t="s">
        <v>845</v>
      </c>
      <c r="B435" t="s">
        <v>846</v>
      </c>
      <c r="C435" t="s">
        <v>17</v>
      </c>
      <c r="D435" t="s">
        <v>23</v>
      </c>
      <c r="E435" t="s">
        <v>24</v>
      </c>
      <c r="F435">
        <v>43</v>
      </c>
    </row>
    <row r="436" spans="1:6" x14ac:dyDescent="0.25">
      <c r="A436" t="s">
        <v>847</v>
      </c>
      <c r="B436" t="s">
        <v>848</v>
      </c>
      <c r="C436" t="s">
        <v>17</v>
      </c>
      <c r="D436" t="s">
        <v>29</v>
      </c>
      <c r="E436" t="s">
        <v>24</v>
      </c>
      <c r="F436">
        <v>30</v>
      </c>
    </row>
    <row r="437" spans="1:6" x14ac:dyDescent="0.25">
      <c r="A437" t="s">
        <v>849</v>
      </c>
      <c r="B437" t="s">
        <v>850</v>
      </c>
      <c r="C437" t="s">
        <v>37</v>
      </c>
      <c r="D437" t="s">
        <v>18</v>
      </c>
      <c r="E437" t="s">
        <v>24</v>
      </c>
      <c r="F437">
        <v>57</v>
      </c>
    </row>
    <row r="438" spans="1:6" x14ac:dyDescent="0.25">
      <c r="A438" t="s">
        <v>851</v>
      </c>
      <c r="B438" t="s">
        <v>852</v>
      </c>
      <c r="C438" t="s">
        <v>17</v>
      </c>
      <c r="D438" t="s">
        <v>29</v>
      </c>
      <c r="E438" t="s">
        <v>24</v>
      </c>
      <c r="F438">
        <v>35</v>
      </c>
    </row>
    <row r="439" spans="1:6" x14ac:dyDescent="0.25">
      <c r="A439" t="s">
        <v>853</v>
      </c>
      <c r="B439" t="s">
        <v>854</v>
      </c>
      <c r="C439" t="s">
        <v>22</v>
      </c>
      <c r="D439" t="s">
        <v>29</v>
      </c>
      <c r="E439" t="s">
        <v>24</v>
      </c>
      <c r="F439">
        <v>42</v>
      </c>
    </row>
    <row r="440" spans="1:6" x14ac:dyDescent="0.25">
      <c r="A440" t="s">
        <v>855</v>
      </c>
      <c r="B440" t="s">
        <v>856</v>
      </c>
      <c r="C440" t="s">
        <v>37</v>
      </c>
      <c r="D440" t="s">
        <v>23</v>
      </c>
      <c r="E440" t="s">
        <v>19</v>
      </c>
      <c r="F440">
        <v>50</v>
      </c>
    </row>
    <row r="441" spans="1:6" x14ac:dyDescent="0.25">
      <c r="A441" t="s">
        <v>857</v>
      </c>
      <c r="B441" t="s">
        <v>858</v>
      </c>
      <c r="C441" t="s">
        <v>37</v>
      </c>
      <c r="D441" t="s">
        <v>29</v>
      </c>
      <c r="E441" t="s">
        <v>19</v>
      </c>
      <c r="F441">
        <v>64</v>
      </c>
    </row>
    <row r="442" spans="1:6" x14ac:dyDescent="0.25">
      <c r="A442" t="s">
        <v>859</v>
      </c>
      <c r="B442" t="s">
        <v>860</v>
      </c>
      <c r="C442" t="s">
        <v>17</v>
      </c>
      <c r="D442" t="s">
        <v>18</v>
      </c>
      <c r="E442" t="s">
        <v>19</v>
      </c>
      <c r="F442">
        <v>57</v>
      </c>
    </row>
    <row r="443" spans="1:6" x14ac:dyDescent="0.25">
      <c r="A443" t="s">
        <v>861</v>
      </c>
      <c r="B443" t="s">
        <v>862</v>
      </c>
      <c r="C443" t="s">
        <v>17</v>
      </c>
      <c r="D443" t="s">
        <v>23</v>
      </c>
      <c r="E443" t="s">
        <v>24</v>
      </c>
      <c r="F443">
        <v>60</v>
      </c>
    </row>
    <row r="444" spans="1:6" x14ac:dyDescent="0.25">
      <c r="A444" t="s">
        <v>863</v>
      </c>
      <c r="B444" t="s">
        <v>864</v>
      </c>
      <c r="C444" t="s">
        <v>17</v>
      </c>
      <c r="D444" t="s">
        <v>23</v>
      </c>
      <c r="E444" t="s">
        <v>19</v>
      </c>
      <c r="F444">
        <v>29</v>
      </c>
    </row>
    <row r="445" spans="1:6" x14ac:dyDescent="0.25">
      <c r="A445" t="s">
        <v>865</v>
      </c>
      <c r="B445" t="s">
        <v>411</v>
      </c>
      <c r="C445" t="s">
        <v>17</v>
      </c>
      <c r="D445" t="s">
        <v>29</v>
      </c>
      <c r="E445" t="s">
        <v>24</v>
      </c>
      <c r="F445">
        <v>61</v>
      </c>
    </row>
    <row r="446" spans="1:6" x14ac:dyDescent="0.25">
      <c r="A446" t="s">
        <v>866</v>
      </c>
      <c r="B446" t="s">
        <v>867</v>
      </c>
      <c r="C446" t="s">
        <v>17</v>
      </c>
      <c r="D446" t="s">
        <v>23</v>
      </c>
      <c r="E446" t="s">
        <v>24</v>
      </c>
      <c r="F446">
        <v>53</v>
      </c>
    </row>
    <row r="447" spans="1:6" x14ac:dyDescent="0.25">
      <c r="A447" t="s">
        <v>868</v>
      </c>
      <c r="B447" t="s">
        <v>869</v>
      </c>
      <c r="C447" t="s">
        <v>32</v>
      </c>
      <c r="D447" t="s">
        <v>29</v>
      </c>
      <c r="E447" t="s">
        <v>19</v>
      </c>
      <c r="F447">
        <v>21</v>
      </c>
    </row>
    <row r="448" spans="1:6" x14ac:dyDescent="0.25">
      <c r="A448" t="s">
        <v>870</v>
      </c>
      <c r="B448" t="s">
        <v>34</v>
      </c>
      <c r="C448" t="s">
        <v>37</v>
      </c>
      <c r="D448" t="s">
        <v>23</v>
      </c>
      <c r="E448" t="s">
        <v>19</v>
      </c>
      <c r="F448">
        <v>22</v>
      </c>
    </row>
    <row r="449" spans="1:6" x14ac:dyDescent="0.25">
      <c r="A449" t="s">
        <v>871</v>
      </c>
      <c r="B449" t="s">
        <v>500</v>
      </c>
      <c r="C449" t="s">
        <v>32</v>
      </c>
      <c r="D449" t="s">
        <v>23</v>
      </c>
      <c r="E449" t="s">
        <v>24</v>
      </c>
      <c r="F449">
        <v>54</v>
      </c>
    </row>
    <row r="450" spans="1:6" x14ac:dyDescent="0.25">
      <c r="A450" t="s">
        <v>872</v>
      </c>
      <c r="B450" t="s">
        <v>873</v>
      </c>
      <c r="C450" t="s">
        <v>32</v>
      </c>
      <c r="D450" t="s">
        <v>29</v>
      </c>
      <c r="E450" t="s">
        <v>19</v>
      </c>
      <c r="F450">
        <v>25</v>
      </c>
    </row>
    <row r="451" spans="1:6" x14ac:dyDescent="0.25">
      <c r="A451" t="s">
        <v>874</v>
      </c>
      <c r="B451" t="s">
        <v>875</v>
      </c>
      <c r="C451" t="s">
        <v>17</v>
      </c>
      <c r="D451" t="s">
        <v>29</v>
      </c>
      <c r="E451" t="s">
        <v>24</v>
      </c>
      <c r="F451">
        <v>59</v>
      </c>
    </row>
    <row r="452" spans="1:6" x14ac:dyDescent="0.25">
      <c r="A452" t="s">
        <v>876</v>
      </c>
      <c r="B452" t="s">
        <v>877</v>
      </c>
      <c r="C452" t="s">
        <v>37</v>
      </c>
      <c r="D452" t="s">
        <v>29</v>
      </c>
      <c r="E452" t="s">
        <v>24</v>
      </c>
      <c r="F452">
        <v>45</v>
      </c>
    </row>
    <row r="453" spans="1:6" x14ac:dyDescent="0.25">
      <c r="A453" t="s">
        <v>878</v>
      </c>
      <c r="B453" t="s">
        <v>879</v>
      </c>
      <c r="C453" t="s">
        <v>32</v>
      </c>
      <c r="D453" t="s">
        <v>29</v>
      </c>
      <c r="E453" t="s">
        <v>24</v>
      </c>
      <c r="F453">
        <v>48</v>
      </c>
    </row>
    <row r="454" spans="1:6" x14ac:dyDescent="0.25">
      <c r="A454" t="s">
        <v>880</v>
      </c>
      <c r="B454" t="s">
        <v>881</v>
      </c>
      <c r="C454" t="s">
        <v>37</v>
      </c>
      <c r="D454" t="s">
        <v>29</v>
      </c>
      <c r="E454" t="s">
        <v>24</v>
      </c>
      <c r="F454">
        <v>26</v>
      </c>
    </row>
    <row r="455" spans="1:6" x14ac:dyDescent="0.25">
      <c r="A455" t="s">
        <v>882</v>
      </c>
      <c r="B455" t="s">
        <v>883</v>
      </c>
      <c r="C455" t="s">
        <v>37</v>
      </c>
      <c r="D455" t="s">
        <v>29</v>
      </c>
      <c r="E455" t="s">
        <v>24</v>
      </c>
      <c r="F455">
        <v>46</v>
      </c>
    </row>
    <row r="456" spans="1:6" x14ac:dyDescent="0.25">
      <c r="A456" t="s">
        <v>884</v>
      </c>
      <c r="B456" t="s">
        <v>885</v>
      </c>
      <c r="C456" t="s">
        <v>22</v>
      </c>
      <c r="D456" t="s">
        <v>29</v>
      </c>
      <c r="E456" t="s">
        <v>19</v>
      </c>
      <c r="F456">
        <v>31</v>
      </c>
    </row>
    <row r="457" spans="1:6" x14ac:dyDescent="0.25">
      <c r="A457" t="s">
        <v>886</v>
      </c>
      <c r="B457" t="s">
        <v>887</v>
      </c>
      <c r="C457" t="s">
        <v>17</v>
      </c>
      <c r="D457" t="s">
        <v>29</v>
      </c>
      <c r="E457" t="s">
        <v>19</v>
      </c>
      <c r="F457">
        <v>57</v>
      </c>
    </row>
    <row r="458" spans="1:6" x14ac:dyDescent="0.25">
      <c r="A458" t="s">
        <v>888</v>
      </c>
      <c r="B458" t="s">
        <v>889</v>
      </c>
      <c r="C458" t="s">
        <v>17</v>
      </c>
      <c r="D458" t="s">
        <v>29</v>
      </c>
      <c r="E458" t="s">
        <v>24</v>
      </c>
      <c r="F458">
        <v>58</v>
      </c>
    </row>
    <row r="459" spans="1:6" x14ac:dyDescent="0.25">
      <c r="A459" t="s">
        <v>890</v>
      </c>
      <c r="B459" t="s">
        <v>891</v>
      </c>
      <c r="C459" t="s">
        <v>22</v>
      </c>
      <c r="D459" t="s">
        <v>23</v>
      </c>
      <c r="E459" t="s">
        <v>24</v>
      </c>
      <c r="F459">
        <v>39</v>
      </c>
    </row>
    <row r="460" spans="1:6" x14ac:dyDescent="0.25">
      <c r="A460" t="s">
        <v>892</v>
      </c>
      <c r="B460" t="s">
        <v>893</v>
      </c>
      <c r="C460" t="s">
        <v>37</v>
      </c>
      <c r="D460" t="s">
        <v>23</v>
      </c>
      <c r="E460" t="s">
        <v>19</v>
      </c>
      <c r="F460">
        <v>28</v>
      </c>
    </row>
    <row r="461" spans="1:6" x14ac:dyDescent="0.25">
      <c r="A461" t="s">
        <v>894</v>
      </c>
      <c r="B461" t="s">
        <v>895</v>
      </c>
      <c r="C461" t="s">
        <v>22</v>
      </c>
      <c r="D461" t="s">
        <v>29</v>
      </c>
      <c r="E461" t="s">
        <v>19</v>
      </c>
      <c r="F461">
        <v>40</v>
      </c>
    </row>
    <row r="462" spans="1:6" x14ac:dyDescent="0.25">
      <c r="A462" t="s">
        <v>896</v>
      </c>
      <c r="B462" t="s">
        <v>897</v>
      </c>
      <c r="C462" t="s">
        <v>32</v>
      </c>
      <c r="D462" t="s">
        <v>18</v>
      </c>
      <c r="E462" t="s">
        <v>24</v>
      </c>
      <c r="F462">
        <v>18</v>
      </c>
    </row>
    <row r="463" spans="1:6" x14ac:dyDescent="0.25">
      <c r="A463" t="s">
        <v>898</v>
      </c>
      <c r="B463" t="s">
        <v>814</v>
      </c>
      <c r="C463" t="s">
        <v>32</v>
      </c>
      <c r="D463" t="s">
        <v>29</v>
      </c>
      <c r="E463" t="s">
        <v>19</v>
      </c>
      <c r="F463">
        <v>63</v>
      </c>
    </row>
    <row r="464" spans="1:6" x14ac:dyDescent="0.25">
      <c r="A464" t="s">
        <v>899</v>
      </c>
      <c r="B464" t="s">
        <v>900</v>
      </c>
      <c r="C464" t="s">
        <v>17</v>
      </c>
      <c r="D464" t="s">
        <v>23</v>
      </c>
      <c r="E464" t="s">
        <v>24</v>
      </c>
      <c r="F464">
        <v>54</v>
      </c>
    </row>
    <row r="465" spans="1:6" x14ac:dyDescent="0.25">
      <c r="A465" t="s">
        <v>901</v>
      </c>
      <c r="B465" t="s">
        <v>902</v>
      </c>
      <c r="C465" t="s">
        <v>22</v>
      </c>
      <c r="D465" t="s">
        <v>29</v>
      </c>
      <c r="E465" t="s">
        <v>19</v>
      </c>
      <c r="F465">
        <v>38</v>
      </c>
    </row>
    <row r="466" spans="1:6" x14ac:dyDescent="0.25">
      <c r="A466" t="s">
        <v>903</v>
      </c>
      <c r="B466" t="s">
        <v>683</v>
      </c>
      <c r="C466" t="s">
        <v>32</v>
      </c>
      <c r="D466" t="s">
        <v>23</v>
      </c>
      <c r="E466" t="s">
        <v>24</v>
      </c>
      <c r="F466">
        <v>43</v>
      </c>
    </row>
    <row r="467" spans="1:6" x14ac:dyDescent="0.25">
      <c r="A467" t="s">
        <v>904</v>
      </c>
      <c r="B467" t="s">
        <v>905</v>
      </c>
      <c r="C467" t="s">
        <v>32</v>
      </c>
      <c r="D467" t="s">
        <v>29</v>
      </c>
      <c r="E467" t="s">
        <v>19</v>
      </c>
      <c r="F467">
        <v>63</v>
      </c>
    </row>
    <row r="468" spans="1:6" x14ac:dyDescent="0.25">
      <c r="A468" t="s">
        <v>906</v>
      </c>
      <c r="B468" t="s">
        <v>895</v>
      </c>
      <c r="C468" t="s">
        <v>22</v>
      </c>
      <c r="D468" t="s">
        <v>18</v>
      </c>
      <c r="E468" t="s">
        <v>24</v>
      </c>
      <c r="F468">
        <v>53</v>
      </c>
    </row>
    <row r="469" spans="1:6" x14ac:dyDescent="0.25">
      <c r="A469" t="s">
        <v>907</v>
      </c>
      <c r="B469" t="s">
        <v>303</v>
      </c>
      <c r="C469" t="s">
        <v>17</v>
      </c>
      <c r="D469" t="s">
        <v>29</v>
      </c>
      <c r="E469" t="s">
        <v>19</v>
      </c>
      <c r="F469">
        <v>40</v>
      </c>
    </row>
    <row r="470" spans="1:6" x14ac:dyDescent="0.25">
      <c r="A470" t="s">
        <v>908</v>
      </c>
      <c r="B470" t="s">
        <v>909</v>
      </c>
      <c r="C470" t="s">
        <v>32</v>
      </c>
      <c r="D470" t="s">
        <v>29</v>
      </c>
      <c r="E470" t="s">
        <v>19</v>
      </c>
      <c r="F470">
        <v>18</v>
      </c>
    </row>
    <row r="471" spans="1:6" x14ac:dyDescent="0.25">
      <c r="A471" t="s">
        <v>910</v>
      </c>
      <c r="B471" t="s">
        <v>911</v>
      </c>
      <c r="C471" t="s">
        <v>17</v>
      </c>
      <c r="D471" t="s">
        <v>23</v>
      </c>
      <c r="E471" t="s">
        <v>24</v>
      </c>
      <c r="F471">
        <v>57</v>
      </c>
    </row>
    <row r="472" spans="1:6" x14ac:dyDescent="0.25">
      <c r="A472" t="s">
        <v>912</v>
      </c>
      <c r="B472" t="s">
        <v>913</v>
      </c>
      <c r="C472" t="s">
        <v>37</v>
      </c>
      <c r="D472" t="s">
        <v>23</v>
      </c>
      <c r="E472" t="s">
        <v>19</v>
      </c>
      <c r="F472">
        <v>32</v>
      </c>
    </row>
    <row r="473" spans="1:6" x14ac:dyDescent="0.25">
      <c r="A473" t="s">
        <v>914</v>
      </c>
      <c r="B473" t="s">
        <v>915</v>
      </c>
      <c r="C473" t="s">
        <v>17</v>
      </c>
      <c r="D473" t="s">
        <v>18</v>
      </c>
      <c r="E473" t="s">
        <v>24</v>
      </c>
      <c r="F473">
        <v>38</v>
      </c>
    </row>
    <row r="474" spans="1:6" x14ac:dyDescent="0.25">
      <c r="A474" t="s">
        <v>916</v>
      </c>
      <c r="B474" t="s">
        <v>768</v>
      </c>
      <c r="C474" t="s">
        <v>17</v>
      </c>
      <c r="D474" t="s">
        <v>29</v>
      </c>
      <c r="E474" t="s">
        <v>19</v>
      </c>
      <c r="F474">
        <v>64</v>
      </c>
    </row>
    <row r="475" spans="1:6" x14ac:dyDescent="0.25">
      <c r="A475" t="s">
        <v>917</v>
      </c>
      <c r="B475" t="s">
        <v>739</v>
      </c>
      <c r="C475" t="s">
        <v>22</v>
      </c>
      <c r="D475" t="s">
        <v>29</v>
      </c>
      <c r="E475" t="s">
        <v>24</v>
      </c>
      <c r="F475">
        <v>26</v>
      </c>
    </row>
    <row r="476" spans="1:6" x14ac:dyDescent="0.25">
      <c r="A476" t="s">
        <v>918</v>
      </c>
      <c r="B476" t="s">
        <v>919</v>
      </c>
      <c r="C476" t="s">
        <v>22</v>
      </c>
      <c r="D476" t="s">
        <v>23</v>
      </c>
      <c r="E476" t="s">
        <v>19</v>
      </c>
      <c r="F476">
        <v>26</v>
      </c>
    </row>
    <row r="477" spans="1:6" x14ac:dyDescent="0.25">
      <c r="A477" t="s">
        <v>920</v>
      </c>
      <c r="B477" t="s">
        <v>111</v>
      </c>
      <c r="C477" t="s">
        <v>22</v>
      </c>
      <c r="D477" t="s">
        <v>23</v>
      </c>
      <c r="E477" t="s">
        <v>24</v>
      </c>
      <c r="F477">
        <v>27</v>
      </c>
    </row>
    <row r="478" spans="1:6" x14ac:dyDescent="0.25">
      <c r="A478" t="s">
        <v>921</v>
      </c>
      <c r="B478" t="s">
        <v>922</v>
      </c>
      <c r="C478" t="s">
        <v>22</v>
      </c>
      <c r="D478" t="s">
        <v>23</v>
      </c>
      <c r="E478" t="s">
        <v>19</v>
      </c>
      <c r="F478">
        <v>43</v>
      </c>
    </row>
    <row r="479" spans="1:6" x14ac:dyDescent="0.25">
      <c r="A479" t="s">
        <v>923</v>
      </c>
      <c r="B479" t="s">
        <v>924</v>
      </c>
      <c r="C479" t="s">
        <v>37</v>
      </c>
      <c r="D479" t="s">
        <v>23</v>
      </c>
      <c r="E479" t="s">
        <v>24</v>
      </c>
      <c r="F479">
        <v>58</v>
      </c>
    </row>
    <row r="480" spans="1:6" x14ac:dyDescent="0.25">
      <c r="A480" t="s">
        <v>925</v>
      </c>
      <c r="B480" t="s">
        <v>926</v>
      </c>
      <c r="C480" t="s">
        <v>22</v>
      </c>
      <c r="D480" t="s">
        <v>23</v>
      </c>
      <c r="E480" t="s">
        <v>19</v>
      </c>
      <c r="F480">
        <v>52</v>
      </c>
    </row>
    <row r="481" spans="1:6" x14ac:dyDescent="0.25">
      <c r="A481" t="s">
        <v>927</v>
      </c>
      <c r="B481" t="s">
        <v>928</v>
      </c>
      <c r="C481" t="s">
        <v>22</v>
      </c>
      <c r="D481" t="s">
        <v>18</v>
      </c>
      <c r="E481" t="s">
        <v>24</v>
      </c>
      <c r="F481">
        <v>42</v>
      </c>
    </row>
    <row r="482" spans="1:6" x14ac:dyDescent="0.25">
      <c r="A482" t="s">
        <v>929</v>
      </c>
      <c r="B482" t="s">
        <v>930</v>
      </c>
      <c r="C482" t="s">
        <v>22</v>
      </c>
      <c r="D482" t="s">
        <v>29</v>
      </c>
      <c r="E482" t="s">
        <v>24</v>
      </c>
      <c r="F482">
        <v>43</v>
      </c>
    </row>
    <row r="483" spans="1:6" x14ac:dyDescent="0.25">
      <c r="A483" t="s">
        <v>931</v>
      </c>
      <c r="B483" t="s">
        <v>932</v>
      </c>
      <c r="C483" t="s">
        <v>17</v>
      </c>
      <c r="D483" t="s">
        <v>23</v>
      </c>
      <c r="E483" t="s">
        <v>24</v>
      </c>
      <c r="F483">
        <v>28</v>
      </c>
    </row>
    <row r="484" spans="1:6" x14ac:dyDescent="0.25">
      <c r="A484" t="s">
        <v>933</v>
      </c>
      <c r="B484" t="s">
        <v>934</v>
      </c>
      <c r="C484" t="s">
        <v>32</v>
      </c>
      <c r="D484" t="s">
        <v>23</v>
      </c>
      <c r="E484" t="s">
        <v>19</v>
      </c>
      <c r="F484">
        <v>55</v>
      </c>
    </row>
    <row r="485" spans="1:6" x14ac:dyDescent="0.25">
      <c r="A485" t="s">
        <v>935</v>
      </c>
      <c r="B485" t="s">
        <v>936</v>
      </c>
      <c r="C485" t="s">
        <v>17</v>
      </c>
      <c r="D485" t="s">
        <v>23</v>
      </c>
      <c r="E485" t="s">
        <v>24</v>
      </c>
      <c r="F485">
        <v>19</v>
      </c>
    </row>
    <row r="486" spans="1:6" x14ac:dyDescent="0.25">
      <c r="A486" t="s">
        <v>937</v>
      </c>
      <c r="B486" t="s">
        <v>938</v>
      </c>
      <c r="C486" t="s">
        <v>32</v>
      </c>
      <c r="D486" t="s">
        <v>18</v>
      </c>
      <c r="E486" t="s">
        <v>19</v>
      </c>
      <c r="F486">
        <v>24</v>
      </c>
    </row>
    <row r="487" spans="1:6" x14ac:dyDescent="0.25">
      <c r="A487" t="s">
        <v>939</v>
      </c>
      <c r="B487" t="s">
        <v>502</v>
      </c>
      <c r="C487" t="s">
        <v>17</v>
      </c>
      <c r="D487" t="s">
        <v>23</v>
      </c>
      <c r="E487" t="s">
        <v>24</v>
      </c>
      <c r="F487">
        <v>35</v>
      </c>
    </row>
    <row r="488" spans="1:6" x14ac:dyDescent="0.25">
      <c r="A488" t="s">
        <v>940</v>
      </c>
      <c r="B488" t="s">
        <v>703</v>
      </c>
      <c r="C488" t="s">
        <v>37</v>
      </c>
      <c r="D488" t="s">
        <v>29</v>
      </c>
      <c r="E488" t="s">
        <v>19</v>
      </c>
      <c r="F488">
        <v>44</v>
      </c>
    </row>
    <row r="489" spans="1:6" x14ac:dyDescent="0.25">
      <c r="A489" t="s">
        <v>941</v>
      </c>
      <c r="B489" t="s">
        <v>942</v>
      </c>
      <c r="C489" t="s">
        <v>22</v>
      </c>
      <c r="D489" t="s">
        <v>18</v>
      </c>
      <c r="E489" t="s">
        <v>24</v>
      </c>
      <c r="F489">
        <v>51</v>
      </c>
    </row>
    <row r="490" spans="1:6" x14ac:dyDescent="0.25">
      <c r="A490" t="s">
        <v>943</v>
      </c>
      <c r="B490" t="s">
        <v>57</v>
      </c>
      <c r="C490" t="s">
        <v>37</v>
      </c>
      <c r="D490" t="s">
        <v>23</v>
      </c>
      <c r="E490" t="s">
        <v>19</v>
      </c>
      <c r="F490">
        <v>44</v>
      </c>
    </row>
    <row r="491" spans="1:6" x14ac:dyDescent="0.25">
      <c r="A491" t="s">
        <v>944</v>
      </c>
      <c r="B491" t="s">
        <v>945</v>
      </c>
      <c r="C491" t="s">
        <v>22</v>
      </c>
      <c r="D491" t="s">
        <v>29</v>
      </c>
      <c r="E491" t="s">
        <v>19</v>
      </c>
      <c r="F491">
        <v>34</v>
      </c>
    </row>
    <row r="492" spans="1:6" x14ac:dyDescent="0.25">
      <c r="A492" t="s">
        <v>946</v>
      </c>
      <c r="B492" t="s">
        <v>947</v>
      </c>
      <c r="C492" t="s">
        <v>17</v>
      </c>
      <c r="D492" t="s">
        <v>18</v>
      </c>
      <c r="E492" t="s">
        <v>24</v>
      </c>
      <c r="F492">
        <v>60</v>
      </c>
    </row>
    <row r="493" spans="1:6" x14ac:dyDescent="0.25">
      <c r="A493" t="s">
        <v>948</v>
      </c>
      <c r="B493" t="s">
        <v>858</v>
      </c>
      <c r="C493" t="s">
        <v>37</v>
      </c>
      <c r="D493" t="s">
        <v>23</v>
      </c>
      <c r="E493" t="s">
        <v>19</v>
      </c>
      <c r="F493">
        <v>61</v>
      </c>
    </row>
    <row r="494" spans="1:6" x14ac:dyDescent="0.25">
      <c r="A494" t="s">
        <v>949</v>
      </c>
      <c r="B494" t="s">
        <v>950</v>
      </c>
      <c r="C494" t="s">
        <v>32</v>
      </c>
      <c r="D494" t="s">
        <v>23</v>
      </c>
      <c r="E494" t="s">
        <v>19</v>
      </c>
      <c r="F494">
        <v>41</v>
      </c>
    </row>
    <row r="495" spans="1:6" x14ac:dyDescent="0.25">
      <c r="A495" t="s">
        <v>951</v>
      </c>
      <c r="B495" t="s">
        <v>936</v>
      </c>
      <c r="C495" t="s">
        <v>37</v>
      </c>
      <c r="D495" t="s">
        <v>18</v>
      </c>
      <c r="E495" t="s">
        <v>24</v>
      </c>
      <c r="F495">
        <v>42</v>
      </c>
    </row>
    <row r="496" spans="1:6" x14ac:dyDescent="0.25">
      <c r="A496" t="s">
        <v>952</v>
      </c>
      <c r="B496" t="s">
        <v>490</v>
      </c>
      <c r="C496" t="s">
        <v>22</v>
      </c>
      <c r="D496" t="s">
        <v>18</v>
      </c>
      <c r="E496" t="s">
        <v>19</v>
      </c>
      <c r="F496">
        <v>24</v>
      </c>
    </row>
    <row r="497" spans="1:6" x14ac:dyDescent="0.25">
      <c r="A497" t="s">
        <v>953</v>
      </c>
      <c r="B497" t="s">
        <v>954</v>
      </c>
      <c r="C497" t="s">
        <v>32</v>
      </c>
      <c r="D497" t="s">
        <v>29</v>
      </c>
      <c r="E497" t="s">
        <v>19</v>
      </c>
      <c r="F497">
        <v>23</v>
      </c>
    </row>
    <row r="498" spans="1:6" x14ac:dyDescent="0.25">
      <c r="A498" t="s">
        <v>955</v>
      </c>
      <c r="B498" t="s">
        <v>956</v>
      </c>
      <c r="C498" t="s">
        <v>37</v>
      </c>
      <c r="D498" t="s">
        <v>29</v>
      </c>
      <c r="E498" t="s">
        <v>19</v>
      </c>
      <c r="F498">
        <v>41</v>
      </c>
    </row>
    <row r="499" spans="1:6" x14ac:dyDescent="0.25">
      <c r="A499" t="s">
        <v>957</v>
      </c>
      <c r="B499" t="s">
        <v>958</v>
      </c>
      <c r="C499" t="s">
        <v>32</v>
      </c>
      <c r="D499" t="s">
        <v>23</v>
      </c>
      <c r="E499" t="s">
        <v>24</v>
      </c>
      <c r="F499">
        <v>50</v>
      </c>
    </row>
    <row r="500" spans="1:6" x14ac:dyDescent="0.25">
      <c r="A500" t="s">
        <v>959</v>
      </c>
      <c r="B500" t="s">
        <v>960</v>
      </c>
      <c r="C500" t="s">
        <v>22</v>
      </c>
      <c r="D500" t="s">
        <v>18</v>
      </c>
      <c r="E500" t="s">
        <v>19</v>
      </c>
      <c r="F500">
        <v>46</v>
      </c>
    </row>
    <row r="501" spans="1:6" x14ac:dyDescent="0.25">
      <c r="A501" t="s">
        <v>961</v>
      </c>
      <c r="B501" t="s">
        <v>962</v>
      </c>
      <c r="C501" t="s">
        <v>32</v>
      </c>
      <c r="D501" t="s">
        <v>23</v>
      </c>
      <c r="E501" t="s">
        <v>24</v>
      </c>
      <c r="F501">
        <v>60</v>
      </c>
    </row>
    <row r="502" spans="1:6" x14ac:dyDescent="0.25">
      <c r="A502" t="s">
        <v>963</v>
      </c>
      <c r="B502" t="s">
        <v>864</v>
      </c>
      <c r="C502" t="s">
        <v>32</v>
      </c>
      <c r="D502" t="s">
        <v>23</v>
      </c>
      <c r="E502" t="s">
        <v>19</v>
      </c>
      <c r="F502">
        <v>39</v>
      </c>
    </row>
    <row r="503" spans="1:6" x14ac:dyDescent="0.25">
      <c r="A503" t="s">
        <v>964</v>
      </c>
      <c r="B503" t="s">
        <v>965</v>
      </c>
      <c r="C503" t="s">
        <v>37</v>
      </c>
      <c r="D503" t="s">
        <v>29</v>
      </c>
      <c r="E503" t="s">
        <v>19</v>
      </c>
      <c r="F503">
        <v>43</v>
      </c>
    </row>
    <row r="504" spans="1:6" x14ac:dyDescent="0.25">
      <c r="A504" t="s">
        <v>966</v>
      </c>
      <c r="B504" t="s">
        <v>967</v>
      </c>
      <c r="C504" t="s">
        <v>22</v>
      </c>
      <c r="D504" t="s">
        <v>18</v>
      </c>
      <c r="E504" t="s">
        <v>19</v>
      </c>
      <c r="F504">
        <v>45</v>
      </c>
    </row>
    <row r="505" spans="1:6" x14ac:dyDescent="0.25">
      <c r="A505" t="s">
        <v>968</v>
      </c>
      <c r="B505" t="s">
        <v>969</v>
      </c>
      <c r="C505" t="s">
        <v>22</v>
      </c>
      <c r="D505" t="s">
        <v>18</v>
      </c>
      <c r="E505" t="s">
        <v>24</v>
      </c>
      <c r="F505">
        <v>38</v>
      </c>
    </row>
    <row r="506" spans="1:6" x14ac:dyDescent="0.25">
      <c r="A506" t="s">
        <v>970</v>
      </c>
      <c r="B506" t="s">
        <v>971</v>
      </c>
      <c r="C506" t="s">
        <v>37</v>
      </c>
      <c r="D506" t="s">
        <v>23</v>
      </c>
      <c r="E506" t="s">
        <v>19</v>
      </c>
      <c r="F506">
        <v>24</v>
      </c>
    </row>
    <row r="507" spans="1:6" x14ac:dyDescent="0.25">
      <c r="A507" t="s">
        <v>972</v>
      </c>
      <c r="B507" t="s">
        <v>135</v>
      </c>
      <c r="C507" t="s">
        <v>22</v>
      </c>
      <c r="D507" t="s">
        <v>23</v>
      </c>
      <c r="E507" t="s">
        <v>19</v>
      </c>
      <c r="F507">
        <v>34</v>
      </c>
    </row>
    <row r="508" spans="1:6" x14ac:dyDescent="0.25">
      <c r="A508" t="s">
        <v>973</v>
      </c>
      <c r="B508" t="s">
        <v>974</v>
      </c>
      <c r="C508" t="s">
        <v>32</v>
      </c>
      <c r="D508" t="s">
        <v>18</v>
      </c>
      <c r="E508" t="s">
        <v>24</v>
      </c>
      <c r="F508">
        <v>37</v>
      </c>
    </row>
    <row r="509" spans="1:6" x14ac:dyDescent="0.25">
      <c r="A509" t="s">
        <v>975</v>
      </c>
      <c r="B509" t="s">
        <v>976</v>
      </c>
      <c r="C509" t="s">
        <v>22</v>
      </c>
      <c r="D509" t="s">
        <v>18</v>
      </c>
      <c r="E509" t="s">
        <v>19</v>
      </c>
      <c r="F509">
        <v>58</v>
      </c>
    </row>
    <row r="510" spans="1:6" x14ac:dyDescent="0.25">
      <c r="A510" t="s">
        <v>977</v>
      </c>
      <c r="B510" t="s">
        <v>978</v>
      </c>
      <c r="C510" t="s">
        <v>17</v>
      </c>
      <c r="D510" t="s">
        <v>29</v>
      </c>
      <c r="E510" t="s">
        <v>24</v>
      </c>
      <c r="F510">
        <v>37</v>
      </c>
    </row>
    <row r="511" spans="1:6" x14ac:dyDescent="0.25">
      <c r="A511" t="s">
        <v>979</v>
      </c>
      <c r="B511" t="s">
        <v>799</v>
      </c>
      <c r="C511" t="s">
        <v>32</v>
      </c>
      <c r="D511" t="s">
        <v>29</v>
      </c>
      <c r="E511" t="s">
        <v>24</v>
      </c>
      <c r="F511">
        <v>39</v>
      </c>
    </row>
    <row r="512" spans="1:6" x14ac:dyDescent="0.25">
      <c r="A512" t="s">
        <v>980</v>
      </c>
      <c r="B512" t="s">
        <v>981</v>
      </c>
      <c r="C512" t="s">
        <v>17</v>
      </c>
      <c r="D512" t="s">
        <v>23</v>
      </c>
      <c r="E512" t="s">
        <v>19</v>
      </c>
      <c r="F512">
        <v>45</v>
      </c>
    </row>
    <row r="513" spans="1:6" x14ac:dyDescent="0.25">
      <c r="A513" t="s">
        <v>982</v>
      </c>
      <c r="B513" t="s">
        <v>983</v>
      </c>
      <c r="C513" t="s">
        <v>17</v>
      </c>
      <c r="D513" t="s">
        <v>23</v>
      </c>
      <c r="E513" t="s">
        <v>24</v>
      </c>
      <c r="F513">
        <v>57</v>
      </c>
    </row>
    <row r="514" spans="1:6" x14ac:dyDescent="0.25">
      <c r="A514" t="s">
        <v>984</v>
      </c>
      <c r="B514" t="s">
        <v>172</v>
      </c>
      <c r="C514" t="s">
        <v>32</v>
      </c>
      <c r="D514" t="s">
        <v>23</v>
      </c>
      <c r="E514" t="s">
        <v>19</v>
      </c>
      <c r="F514">
        <v>24</v>
      </c>
    </row>
    <row r="515" spans="1:6" x14ac:dyDescent="0.25">
      <c r="A515" t="s">
        <v>985</v>
      </c>
      <c r="B515" t="s">
        <v>657</v>
      </c>
      <c r="C515" t="s">
        <v>32</v>
      </c>
      <c r="D515" t="s">
        <v>23</v>
      </c>
      <c r="E515" t="s">
        <v>24</v>
      </c>
      <c r="F515">
        <v>18</v>
      </c>
    </row>
    <row r="516" spans="1:6" x14ac:dyDescent="0.25">
      <c r="A516" t="s">
        <v>986</v>
      </c>
      <c r="B516" t="s">
        <v>987</v>
      </c>
      <c r="C516" t="s">
        <v>37</v>
      </c>
      <c r="D516" t="s">
        <v>23</v>
      </c>
      <c r="E516" t="s">
        <v>24</v>
      </c>
      <c r="F516">
        <v>49</v>
      </c>
    </row>
    <row r="517" spans="1:6" x14ac:dyDescent="0.25">
      <c r="A517" t="s">
        <v>988</v>
      </c>
      <c r="B517" t="s">
        <v>989</v>
      </c>
      <c r="C517" t="s">
        <v>17</v>
      </c>
      <c r="D517" t="s">
        <v>18</v>
      </c>
      <c r="E517" t="s">
        <v>19</v>
      </c>
      <c r="F517">
        <v>30</v>
      </c>
    </row>
    <row r="518" spans="1:6" x14ac:dyDescent="0.25">
      <c r="A518" t="s">
        <v>990</v>
      </c>
      <c r="B518" t="s">
        <v>244</v>
      </c>
      <c r="C518" t="s">
        <v>17</v>
      </c>
      <c r="D518" t="s">
        <v>23</v>
      </c>
      <c r="E518" t="s">
        <v>24</v>
      </c>
      <c r="F518">
        <v>47</v>
      </c>
    </row>
    <row r="519" spans="1:6" x14ac:dyDescent="0.25">
      <c r="A519" t="s">
        <v>991</v>
      </c>
      <c r="B519" t="s">
        <v>992</v>
      </c>
      <c r="C519" t="s">
        <v>37</v>
      </c>
      <c r="D519" t="s">
        <v>23</v>
      </c>
      <c r="E519" t="s">
        <v>24</v>
      </c>
      <c r="F519">
        <v>40</v>
      </c>
    </row>
    <row r="520" spans="1:6" x14ac:dyDescent="0.25">
      <c r="A520" t="s">
        <v>993</v>
      </c>
      <c r="B520" t="s">
        <v>994</v>
      </c>
      <c r="C520" t="s">
        <v>17</v>
      </c>
      <c r="D520" t="s">
        <v>29</v>
      </c>
      <c r="E520" t="s">
        <v>24</v>
      </c>
      <c r="F520">
        <v>36</v>
      </c>
    </row>
    <row r="521" spans="1:6" x14ac:dyDescent="0.25">
      <c r="A521" t="s">
        <v>995</v>
      </c>
      <c r="B521" t="s">
        <v>996</v>
      </c>
      <c r="C521" t="s">
        <v>17</v>
      </c>
      <c r="D521" t="s">
        <v>23</v>
      </c>
      <c r="E521" t="s">
        <v>24</v>
      </c>
      <c r="F521">
        <v>49</v>
      </c>
    </row>
    <row r="522" spans="1:6" x14ac:dyDescent="0.25">
      <c r="A522" t="s">
        <v>997</v>
      </c>
      <c r="B522" t="s">
        <v>409</v>
      </c>
      <c r="C522" t="s">
        <v>22</v>
      </c>
      <c r="D522" t="s">
        <v>23</v>
      </c>
      <c r="E522" t="s">
        <v>24</v>
      </c>
      <c r="F522">
        <v>47</v>
      </c>
    </row>
    <row r="523" spans="1:6" x14ac:dyDescent="0.25">
      <c r="A523" t="s">
        <v>998</v>
      </c>
      <c r="B523" t="s">
        <v>389</v>
      </c>
      <c r="C523" t="s">
        <v>32</v>
      </c>
      <c r="D523" t="s">
        <v>29</v>
      </c>
      <c r="E523" t="s">
        <v>19</v>
      </c>
      <c r="F523">
        <v>46</v>
      </c>
    </row>
    <row r="524" spans="1:6" x14ac:dyDescent="0.25">
      <c r="A524" t="s">
        <v>999</v>
      </c>
      <c r="B524" t="s">
        <v>198</v>
      </c>
      <c r="C524" t="s">
        <v>37</v>
      </c>
      <c r="D524" t="s">
        <v>23</v>
      </c>
      <c r="E524" t="s">
        <v>24</v>
      </c>
      <c r="F524">
        <v>62</v>
      </c>
    </row>
    <row r="525" spans="1:6" x14ac:dyDescent="0.25">
      <c r="A525" t="s">
        <v>1000</v>
      </c>
      <c r="B525" t="s">
        <v>1001</v>
      </c>
      <c r="C525" t="s">
        <v>32</v>
      </c>
      <c r="D525" t="s">
        <v>29</v>
      </c>
      <c r="E525" t="s">
        <v>19</v>
      </c>
      <c r="F525">
        <v>46</v>
      </c>
    </row>
    <row r="526" spans="1:6" x14ac:dyDescent="0.25">
      <c r="A526" t="s">
        <v>1002</v>
      </c>
      <c r="B526" t="s">
        <v>276</v>
      </c>
      <c r="C526" t="s">
        <v>32</v>
      </c>
      <c r="D526" t="s">
        <v>18</v>
      </c>
      <c r="E526" t="s">
        <v>24</v>
      </c>
      <c r="F526">
        <v>47</v>
      </c>
    </row>
    <row r="527" spans="1:6" x14ac:dyDescent="0.25">
      <c r="A527" t="s">
        <v>1003</v>
      </c>
      <c r="B527" t="s">
        <v>45</v>
      </c>
      <c r="C527" t="s">
        <v>17</v>
      </c>
      <c r="D527" t="s">
        <v>23</v>
      </c>
      <c r="E527" t="s">
        <v>19</v>
      </c>
      <c r="F527">
        <v>33</v>
      </c>
    </row>
    <row r="528" spans="1:6" x14ac:dyDescent="0.25">
      <c r="A528" t="s">
        <v>1004</v>
      </c>
      <c r="B528" t="s">
        <v>1005</v>
      </c>
      <c r="C528" t="s">
        <v>22</v>
      </c>
      <c r="D528" t="s">
        <v>18</v>
      </c>
      <c r="E528" t="s">
        <v>19</v>
      </c>
      <c r="F528">
        <v>57</v>
      </c>
    </row>
    <row r="529" spans="1:6" x14ac:dyDescent="0.25">
      <c r="A529" t="s">
        <v>1006</v>
      </c>
      <c r="B529" t="s">
        <v>1007</v>
      </c>
      <c r="C529" t="s">
        <v>22</v>
      </c>
      <c r="D529" t="s">
        <v>18</v>
      </c>
      <c r="E529" t="s">
        <v>24</v>
      </c>
      <c r="F529">
        <v>36</v>
      </c>
    </row>
    <row r="530" spans="1:6" x14ac:dyDescent="0.25">
      <c r="A530" t="s">
        <v>1008</v>
      </c>
      <c r="B530" t="s">
        <v>1009</v>
      </c>
      <c r="C530" t="s">
        <v>17</v>
      </c>
      <c r="D530" t="s">
        <v>18</v>
      </c>
      <c r="E530" t="s">
        <v>24</v>
      </c>
      <c r="F530">
        <v>35</v>
      </c>
    </row>
    <row r="531" spans="1:6" x14ac:dyDescent="0.25">
      <c r="A531" t="s">
        <v>1010</v>
      </c>
      <c r="B531" t="s">
        <v>1011</v>
      </c>
      <c r="C531" t="s">
        <v>17</v>
      </c>
      <c r="D531" t="s">
        <v>29</v>
      </c>
      <c r="E531" t="s">
        <v>24</v>
      </c>
      <c r="F531">
        <v>18</v>
      </c>
    </row>
    <row r="532" spans="1:6" x14ac:dyDescent="0.25">
      <c r="A532" t="s">
        <v>1012</v>
      </c>
      <c r="B532" t="s">
        <v>1013</v>
      </c>
      <c r="C532" t="s">
        <v>22</v>
      </c>
      <c r="D532" t="s">
        <v>29</v>
      </c>
      <c r="E532" t="s">
        <v>19</v>
      </c>
      <c r="F532">
        <v>31</v>
      </c>
    </row>
    <row r="533" spans="1:6" x14ac:dyDescent="0.25">
      <c r="A533" t="s">
        <v>1014</v>
      </c>
      <c r="B533" t="s">
        <v>1015</v>
      </c>
      <c r="C533" t="s">
        <v>17</v>
      </c>
      <c r="D533" t="s">
        <v>29</v>
      </c>
      <c r="E533" t="s">
        <v>24</v>
      </c>
      <c r="F533">
        <v>64</v>
      </c>
    </row>
    <row r="534" spans="1:6" x14ac:dyDescent="0.25">
      <c r="A534" t="s">
        <v>1016</v>
      </c>
      <c r="B534" t="s">
        <v>1017</v>
      </c>
      <c r="C534" t="s">
        <v>32</v>
      </c>
      <c r="D534" t="s">
        <v>29</v>
      </c>
      <c r="E534" t="s">
        <v>19</v>
      </c>
      <c r="F534">
        <v>19</v>
      </c>
    </row>
    <row r="535" spans="1:6" x14ac:dyDescent="0.25">
      <c r="A535" t="s">
        <v>1018</v>
      </c>
      <c r="B535" t="s">
        <v>1019</v>
      </c>
      <c r="C535" t="s">
        <v>32</v>
      </c>
      <c r="D535" t="s">
        <v>23</v>
      </c>
      <c r="E535" t="s">
        <v>19</v>
      </c>
      <c r="F535">
        <v>45</v>
      </c>
    </row>
    <row r="536" spans="1:6" x14ac:dyDescent="0.25">
      <c r="A536" t="s">
        <v>1020</v>
      </c>
      <c r="B536" t="s">
        <v>190</v>
      </c>
      <c r="C536" t="s">
        <v>17</v>
      </c>
      <c r="D536" t="s">
        <v>18</v>
      </c>
      <c r="E536" t="s">
        <v>19</v>
      </c>
      <c r="F536">
        <v>47</v>
      </c>
    </row>
    <row r="537" spans="1:6" x14ac:dyDescent="0.25">
      <c r="A537" t="s">
        <v>1021</v>
      </c>
      <c r="B537" t="s">
        <v>1022</v>
      </c>
      <c r="C537" t="s">
        <v>22</v>
      </c>
      <c r="D537" t="s">
        <v>29</v>
      </c>
      <c r="E537" t="s">
        <v>24</v>
      </c>
      <c r="F537">
        <v>55</v>
      </c>
    </row>
    <row r="538" spans="1:6" x14ac:dyDescent="0.25">
      <c r="A538" t="s">
        <v>1023</v>
      </c>
      <c r="B538" t="s">
        <v>1024</v>
      </c>
      <c r="C538" t="s">
        <v>37</v>
      </c>
      <c r="D538" t="s">
        <v>29</v>
      </c>
      <c r="E538" t="s">
        <v>24</v>
      </c>
      <c r="F538">
        <v>21</v>
      </c>
    </row>
    <row r="539" spans="1:6" x14ac:dyDescent="0.25">
      <c r="A539" t="s">
        <v>1025</v>
      </c>
      <c r="B539" t="s">
        <v>1026</v>
      </c>
      <c r="C539" t="s">
        <v>32</v>
      </c>
      <c r="D539" t="s">
        <v>23</v>
      </c>
      <c r="E539" t="s">
        <v>19</v>
      </c>
      <c r="F539">
        <v>18</v>
      </c>
    </row>
    <row r="540" spans="1:6" x14ac:dyDescent="0.25">
      <c r="A540" t="s">
        <v>1027</v>
      </c>
      <c r="B540" t="s">
        <v>198</v>
      </c>
      <c r="C540" t="s">
        <v>37</v>
      </c>
      <c r="D540" t="s">
        <v>23</v>
      </c>
      <c r="E540" t="s">
        <v>19</v>
      </c>
      <c r="F540">
        <v>25</v>
      </c>
    </row>
    <row r="541" spans="1:6" x14ac:dyDescent="0.25">
      <c r="A541" t="s">
        <v>1028</v>
      </c>
      <c r="B541" t="s">
        <v>1029</v>
      </c>
      <c r="C541" t="s">
        <v>22</v>
      </c>
      <c r="D541" t="s">
        <v>29</v>
      </c>
      <c r="E541" t="s">
        <v>24</v>
      </c>
      <c r="F541">
        <v>46</v>
      </c>
    </row>
    <row r="542" spans="1:6" x14ac:dyDescent="0.25">
      <c r="A542" t="s">
        <v>1030</v>
      </c>
      <c r="B542" t="s">
        <v>1031</v>
      </c>
      <c r="C542" t="s">
        <v>37</v>
      </c>
      <c r="D542" t="s">
        <v>29</v>
      </c>
      <c r="E542" t="s">
        <v>19</v>
      </c>
      <c r="F542">
        <v>56</v>
      </c>
    </row>
    <row r="543" spans="1:6" x14ac:dyDescent="0.25">
      <c r="A543" t="s">
        <v>1032</v>
      </c>
      <c r="B543" t="s">
        <v>1033</v>
      </c>
      <c r="C543" t="s">
        <v>17</v>
      </c>
      <c r="D543" t="s">
        <v>23</v>
      </c>
      <c r="E543" t="s">
        <v>24</v>
      </c>
      <c r="F543">
        <v>20</v>
      </c>
    </row>
    <row r="544" spans="1:6" x14ac:dyDescent="0.25">
      <c r="A544" t="s">
        <v>1034</v>
      </c>
      <c r="B544" t="s">
        <v>1035</v>
      </c>
      <c r="C544" t="s">
        <v>22</v>
      </c>
      <c r="D544" t="s">
        <v>23</v>
      </c>
      <c r="E544" t="s">
        <v>19</v>
      </c>
      <c r="F544">
        <v>49</v>
      </c>
    </row>
    <row r="545" spans="1:6" x14ac:dyDescent="0.25">
      <c r="A545" t="s">
        <v>1036</v>
      </c>
      <c r="B545" t="s">
        <v>1037</v>
      </c>
      <c r="C545" t="s">
        <v>17</v>
      </c>
      <c r="D545" t="s">
        <v>23</v>
      </c>
      <c r="E545" t="s">
        <v>24</v>
      </c>
      <c r="F545">
        <v>27</v>
      </c>
    </row>
    <row r="546" spans="1:6" x14ac:dyDescent="0.25">
      <c r="A546" t="s">
        <v>1038</v>
      </c>
      <c r="B546" t="s">
        <v>1039</v>
      </c>
      <c r="C546" t="s">
        <v>22</v>
      </c>
      <c r="D546" t="s">
        <v>29</v>
      </c>
      <c r="E546" t="s">
        <v>19</v>
      </c>
      <c r="F546">
        <v>27</v>
      </c>
    </row>
    <row r="547" spans="1:6" x14ac:dyDescent="0.25">
      <c r="A547" t="s">
        <v>1040</v>
      </c>
      <c r="B547" t="s">
        <v>1041</v>
      </c>
      <c r="C547" t="s">
        <v>22</v>
      </c>
      <c r="D547" t="s">
        <v>23</v>
      </c>
      <c r="E547" t="s">
        <v>24</v>
      </c>
      <c r="F547">
        <v>36</v>
      </c>
    </row>
    <row r="548" spans="1:6" x14ac:dyDescent="0.25">
      <c r="A548" t="s">
        <v>1042</v>
      </c>
      <c r="B548" t="s">
        <v>117</v>
      </c>
      <c r="C548" t="s">
        <v>17</v>
      </c>
      <c r="D548" t="s">
        <v>18</v>
      </c>
      <c r="E548" t="s">
        <v>19</v>
      </c>
      <c r="F548">
        <v>63</v>
      </c>
    </row>
    <row r="549" spans="1:6" x14ac:dyDescent="0.25">
      <c r="A549" t="s">
        <v>1043</v>
      </c>
      <c r="B549" t="s">
        <v>1044</v>
      </c>
      <c r="C549" t="s">
        <v>32</v>
      </c>
      <c r="D549" t="s">
        <v>23</v>
      </c>
      <c r="E549" t="s">
        <v>24</v>
      </c>
      <c r="F549">
        <v>51</v>
      </c>
    </row>
    <row r="550" spans="1:6" x14ac:dyDescent="0.25">
      <c r="A550" t="s">
        <v>1045</v>
      </c>
      <c r="B550" t="s">
        <v>1046</v>
      </c>
      <c r="C550" t="s">
        <v>22</v>
      </c>
      <c r="D550" t="s">
        <v>23</v>
      </c>
      <c r="E550" t="s">
        <v>24</v>
      </c>
      <c r="F550">
        <v>50</v>
      </c>
    </row>
    <row r="551" spans="1:6" x14ac:dyDescent="0.25">
      <c r="A551" t="s">
        <v>1047</v>
      </c>
      <c r="B551" t="s">
        <v>1048</v>
      </c>
      <c r="C551" t="s">
        <v>17</v>
      </c>
      <c r="D551" t="s">
        <v>23</v>
      </c>
      <c r="E551" t="s">
        <v>19</v>
      </c>
      <c r="F551">
        <v>40</v>
      </c>
    </row>
    <row r="552" spans="1:6" x14ac:dyDescent="0.25">
      <c r="A552" t="s">
        <v>1049</v>
      </c>
      <c r="B552" t="s">
        <v>703</v>
      </c>
      <c r="C552" t="s">
        <v>17</v>
      </c>
      <c r="D552" t="s">
        <v>29</v>
      </c>
      <c r="E552" t="s">
        <v>19</v>
      </c>
      <c r="F552">
        <v>45</v>
      </c>
    </row>
    <row r="553" spans="1:6" x14ac:dyDescent="0.25">
      <c r="A553" t="s">
        <v>1050</v>
      </c>
      <c r="B553" t="s">
        <v>1051</v>
      </c>
      <c r="C553" t="s">
        <v>22</v>
      </c>
      <c r="D553" t="s">
        <v>23</v>
      </c>
      <c r="E553" t="s">
        <v>24</v>
      </c>
      <c r="F553">
        <v>49</v>
      </c>
    </row>
    <row r="554" spans="1:6" x14ac:dyDescent="0.25">
      <c r="A554" t="s">
        <v>1052</v>
      </c>
      <c r="B554" t="s">
        <v>1053</v>
      </c>
      <c r="C554" t="s">
        <v>22</v>
      </c>
      <c r="D554" t="s">
        <v>29</v>
      </c>
      <c r="E554" t="s">
        <v>19</v>
      </c>
      <c r="F554">
        <v>24</v>
      </c>
    </row>
    <row r="555" spans="1:6" x14ac:dyDescent="0.25">
      <c r="A555" t="s">
        <v>1054</v>
      </c>
      <c r="B555" t="s">
        <v>1055</v>
      </c>
      <c r="C555" t="s">
        <v>22</v>
      </c>
      <c r="D555" t="s">
        <v>18</v>
      </c>
      <c r="E555" t="s">
        <v>24</v>
      </c>
      <c r="F555">
        <v>46</v>
      </c>
    </row>
    <row r="556" spans="1:6" x14ac:dyDescent="0.25">
      <c r="A556" t="s">
        <v>1056</v>
      </c>
      <c r="B556" t="s">
        <v>1057</v>
      </c>
      <c r="C556" t="s">
        <v>17</v>
      </c>
      <c r="D556" t="s">
        <v>23</v>
      </c>
      <c r="E556" t="s">
        <v>19</v>
      </c>
      <c r="F556">
        <v>25</v>
      </c>
    </row>
    <row r="557" spans="1:6" x14ac:dyDescent="0.25">
      <c r="A557" t="s">
        <v>1058</v>
      </c>
      <c r="B557" t="s">
        <v>1059</v>
      </c>
      <c r="C557" t="s">
        <v>32</v>
      </c>
      <c r="D557" t="s">
        <v>29</v>
      </c>
      <c r="E557" t="s">
        <v>24</v>
      </c>
      <c r="F557">
        <v>18</v>
      </c>
    </row>
    <row r="558" spans="1:6" x14ac:dyDescent="0.25">
      <c r="A558" t="s">
        <v>1060</v>
      </c>
      <c r="B558" t="s">
        <v>1061</v>
      </c>
      <c r="C558" t="s">
        <v>37</v>
      </c>
      <c r="D558" t="s">
        <v>23</v>
      </c>
      <c r="E558" t="s">
        <v>24</v>
      </c>
      <c r="F558">
        <v>20</v>
      </c>
    </row>
    <row r="559" spans="1:6" x14ac:dyDescent="0.25">
      <c r="A559" t="s">
        <v>1062</v>
      </c>
      <c r="B559" t="s">
        <v>1063</v>
      </c>
      <c r="C559" t="s">
        <v>22</v>
      </c>
      <c r="D559" t="s">
        <v>23</v>
      </c>
      <c r="E559" t="s">
        <v>24</v>
      </c>
      <c r="F559">
        <v>41</v>
      </c>
    </row>
    <row r="560" spans="1:6" x14ac:dyDescent="0.25">
      <c r="A560" t="s">
        <v>1064</v>
      </c>
      <c r="B560" t="s">
        <v>284</v>
      </c>
      <c r="C560" t="s">
        <v>32</v>
      </c>
      <c r="D560" t="s">
        <v>23</v>
      </c>
      <c r="E560" t="s">
        <v>24</v>
      </c>
      <c r="F560">
        <v>40</v>
      </c>
    </row>
    <row r="561" spans="1:6" x14ac:dyDescent="0.25">
      <c r="A561" t="s">
        <v>1065</v>
      </c>
      <c r="B561" t="s">
        <v>1066</v>
      </c>
      <c r="C561" t="s">
        <v>37</v>
      </c>
      <c r="D561" t="s">
        <v>23</v>
      </c>
      <c r="E561" t="s">
        <v>24</v>
      </c>
      <c r="F561">
        <v>25</v>
      </c>
    </row>
    <row r="562" spans="1:6" x14ac:dyDescent="0.25">
      <c r="A562" t="s">
        <v>1067</v>
      </c>
      <c r="B562" t="s">
        <v>1068</v>
      </c>
      <c r="C562" t="s">
        <v>37</v>
      </c>
      <c r="D562" t="s">
        <v>29</v>
      </c>
      <c r="E562" t="s">
        <v>24</v>
      </c>
      <c r="F562">
        <v>64</v>
      </c>
    </row>
    <row r="563" spans="1:6" x14ac:dyDescent="0.25">
      <c r="A563" t="s">
        <v>1069</v>
      </c>
      <c r="B563" t="s">
        <v>516</v>
      </c>
      <c r="C563" t="s">
        <v>32</v>
      </c>
      <c r="D563" t="s">
        <v>29</v>
      </c>
      <c r="E563" t="s">
        <v>19</v>
      </c>
      <c r="F563">
        <v>54</v>
      </c>
    </row>
    <row r="564" spans="1:6" x14ac:dyDescent="0.25">
      <c r="A564" t="s">
        <v>1070</v>
      </c>
      <c r="B564" t="s">
        <v>61</v>
      </c>
      <c r="C564" t="s">
        <v>37</v>
      </c>
      <c r="D564" t="s">
        <v>29</v>
      </c>
      <c r="E564" t="s">
        <v>19</v>
      </c>
      <c r="F564">
        <v>20</v>
      </c>
    </row>
    <row r="565" spans="1:6" x14ac:dyDescent="0.25">
      <c r="A565" t="s">
        <v>1071</v>
      </c>
      <c r="B565" t="s">
        <v>1072</v>
      </c>
      <c r="C565" t="s">
        <v>37</v>
      </c>
      <c r="D565" t="s">
        <v>29</v>
      </c>
      <c r="E565" t="s">
        <v>19</v>
      </c>
      <c r="F565">
        <v>50</v>
      </c>
    </row>
    <row r="566" spans="1:6" x14ac:dyDescent="0.25">
      <c r="A566" t="s">
        <v>1073</v>
      </c>
      <c r="B566" t="s">
        <v>858</v>
      </c>
      <c r="C566" t="s">
        <v>37</v>
      </c>
      <c r="D566" t="s">
        <v>29</v>
      </c>
      <c r="E566" t="s">
        <v>24</v>
      </c>
      <c r="F566">
        <v>45</v>
      </c>
    </row>
    <row r="567" spans="1:6" x14ac:dyDescent="0.25">
      <c r="A567" t="s">
        <v>1074</v>
      </c>
      <c r="B567" t="s">
        <v>1075</v>
      </c>
      <c r="C567" t="s">
        <v>22</v>
      </c>
      <c r="D567" t="s">
        <v>23</v>
      </c>
      <c r="E567" t="s">
        <v>24</v>
      </c>
      <c r="F567">
        <v>64</v>
      </c>
    </row>
    <row r="568" spans="1:6" x14ac:dyDescent="0.25">
      <c r="A568" t="s">
        <v>1076</v>
      </c>
      <c r="B568" t="s">
        <v>1077</v>
      </c>
      <c r="C568" t="s">
        <v>17</v>
      </c>
      <c r="D568" t="s">
        <v>23</v>
      </c>
      <c r="E568" t="s">
        <v>24</v>
      </c>
      <c r="F568">
        <v>25</v>
      </c>
    </row>
    <row r="569" spans="1:6" x14ac:dyDescent="0.25">
      <c r="A569" t="s">
        <v>1078</v>
      </c>
      <c r="B569" t="s">
        <v>1079</v>
      </c>
      <c r="C569" t="s">
        <v>17</v>
      </c>
      <c r="D569" t="s">
        <v>23</v>
      </c>
      <c r="E569" t="s">
        <v>24</v>
      </c>
      <c r="F569">
        <v>51</v>
      </c>
    </row>
    <row r="570" spans="1:6" x14ac:dyDescent="0.25">
      <c r="A570" t="s">
        <v>1080</v>
      </c>
      <c r="B570" t="s">
        <v>1081</v>
      </c>
      <c r="C570" t="s">
        <v>22</v>
      </c>
      <c r="D570" t="s">
        <v>29</v>
      </c>
      <c r="E570" t="s">
        <v>19</v>
      </c>
      <c r="F570">
        <v>52</v>
      </c>
    </row>
    <row r="571" spans="1:6" x14ac:dyDescent="0.25">
      <c r="A571" t="s">
        <v>1082</v>
      </c>
      <c r="B571" t="s">
        <v>1024</v>
      </c>
      <c r="C571" t="s">
        <v>22</v>
      </c>
      <c r="D571" t="s">
        <v>18</v>
      </c>
      <c r="E571" t="s">
        <v>19</v>
      </c>
      <c r="F571">
        <v>49</v>
      </c>
    </row>
    <row r="572" spans="1:6" x14ac:dyDescent="0.25">
      <c r="A572" t="s">
        <v>1083</v>
      </c>
      <c r="B572" t="s">
        <v>1084</v>
      </c>
      <c r="C572" t="s">
        <v>22</v>
      </c>
      <c r="D572" t="s">
        <v>23</v>
      </c>
      <c r="E572" t="s">
        <v>24</v>
      </c>
      <c r="F572">
        <v>41</v>
      </c>
    </row>
    <row r="573" spans="1:6" x14ac:dyDescent="0.25">
      <c r="A573" t="s">
        <v>1085</v>
      </c>
      <c r="B573" t="s">
        <v>1086</v>
      </c>
      <c r="C573" t="s">
        <v>32</v>
      </c>
      <c r="D573" t="s">
        <v>29</v>
      </c>
      <c r="E573" t="s">
        <v>19</v>
      </c>
      <c r="F573">
        <v>31</v>
      </c>
    </row>
    <row r="574" spans="1:6" x14ac:dyDescent="0.25">
      <c r="A574" t="s">
        <v>1087</v>
      </c>
      <c r="B574" t="s">
        <v>1088</v>
      </c>
      <c r="C574" t="s">
        <v>32</v>
      </c>
      <c r="D574" t="s">
        <v>29</v>
      </c>
      <c r="E574" t="s">
        <v>19</v>
      </c>
      <c r="F574">
        <v>49</v>
      </c>
    </row>
    <row r="575" spans="1:6" x14ac:dyDescent="0.25">
      <c r="A575" t="s">
        <v>1089</v>
      </c>
      <c r="B575" t="s">
        <v>1090</v>
      </c>
      <c r="C575" t="s">
        <v>37</v>
      </c>
      <c r="D575" t="s">
        <v>18</v>
      </c>
      <c r="E575" t="s">
        <v>24</v>
      </c>
      <c r="F575">
        <v>63</v>
      </c>
    </row>
    <row r="576" spans="1:6" x14ac:dyDescent="0.25">
      <c r="A576" t="s">
        <v>1091</v>
      </c>
      <c r="B576" t="s">
        <v>1092</v>
      </c>
      <c r="C576" t="s">
        <v>17</v>
      </c>
      <c r="D576" t="s">
        <v>29</v>
      </c>
      <c r="E576" t="s">
        <v>19</v>
      </c>
      <c r="F576">
        <v>60</v>
      </c>
    </row>
    <row r="577" spans="1:6" x14ac:dyDescent="0.25">
      <c r="A577" t="s">
        <v>1093</v>
      </c>
      <c r="B577" t="s">
        <v>1094</v>
      </c>
      <c r="C577" t="s">
        <v>17</v>
      </c>
      <c r="D577" t="s">
        <v>29</v>
      </c>
      <c r="E577" t="s">
        <v>24</v>
      </c>
      <c r="F577">
        <v>33</v>
      </c>
    </row>
    <row r="578" spans="1:6" x14ac:dyDescent="0.25">
      <c r="A578" t="s">
        <v>1095</v>
      </c>
      <c r="B578" t="s">
        <v>1096</v>
      </c>
      <c r="C578" t="s">
        <v>37</v>
      </c>
      <c r="D578" t="s">
        <v>29</v>
      </c>
      <c r="E578" t="s">
        <v>19</v>
      </c>
      <c r="F578">
        <v>21</v>
      </c>
    </row>
    <row r="579" spans="1:6" x14ac:dyDescent="0.25">
      <c r="A579" t="s">
        <v>1097</v>
      </c>
      <c r="B579" t="s">
        <v>1098</v>
      </c>
      <c r="C579" t="s">
        <v>37</v>
      </c>
      <c r="D579" t="s">
        <v>18</v>
      </c>
      <c r="E579" t="s">
        <v>24</v>
      </c>
      <c r="F579">
        <v>54</v>
      </c>
    </row>
    <row r="580" spans="1:6" x14ac:dyDescent="0.25">
      <c r="A580" t="s">
        <v>1099</v>
      </c>
      <c r="B580" t="s">
        <v>1100</v>
      </c>
      <c r="C580" t="s">
        <v>37</v>
      </c>
      <c r="D580" t="s">
        <v>23</v>
      </c>
      <c r="E580" t="s">
        <v>24</v>
      </c>
      <c r="F580">
        <v>38</v>
      </c>
    </row>
    <row r="581" spans="1:6" x14ac:dyDescent="0.25">
      <c r="A581" t="s">
        <v>1101</v>
      </c>
      <c r="B581" t="s">
        <v>1102</v>
      </c>
      <c r="C581" t="s">
        <v>37</v>
      </c>
      <c r="D581" t="s">
        <v>18</v>
      </c>
      <c r="E581" t="s">
        <v>24</v>
      </c>
      <c r="F581">
        <v>31</v>
      </c>
    </row>
    <row r="582" spans="1:6" x14ac:dyDescent="0.25">
      <c r="A582" t="s">
        <v>1103</v>
      </c>
      <c r="B582" t="s">
        <v>1104</v>
      </c>
      <c r="C582" t="s">
        <v>37</v>
      </c>
      <c r="D582" t="s">
        <v>23</v>
      </c>
      <c r="E582" t="s">
        <v>24</v>
      </c>
      <c r="F582">
        <v>48</v>
      </c>
    </row>
    <row r="583" spans="1:6" x14ac:dyDescent="0.25">
      <c r="A583" t="s">
        <v>1105</v>
      </c>
      <c r="B583" t="s">
        <v>1106</v>
      </c>
      <c r="C583" t="s">
        <v>22</v>
      </c>
      <c r="D583" t="s">
        <v>18</v>
      </c>
      <c r="E583" t="s">
        <v>19</v>
      </c>
      <c r="F583">
        <v>35</v>
      </c>
    </row>
    <row r="584" spans="1:6" x14ac:dyDescent="0.25">
      <c r="A584" t="s">
        <v>1107</v>
      </c>
      <c r="B584" t="s">
        <v>1108</v>
      </c>
      <c r="C584" t="s">
        <v>22</v>
      </c>
      <c r="D584" t="s">
        <v>23</v>
      </c>
      <c r="E584" t="s">
        <v>24</v>
      </c>
      <c r="F584">
        <v>24</v>
      </c>
    </row>
    <row r="585" spans="1:6" x14ac:dyDescent="0.25">
      <c r="A585" t="s">
        <v>1109</v>
      </c>
      <c r="B585" t="s">
        <v>1110</v>
      </c>
      <c r="C585" t="s">
        <v>17</v>
      </c>
      <c r="D585" t="s">
        <v>23</v>
      </c>
      <c r="E585" t="s">
        <v>24</v>
      </c>
      <c r="F585">
        <v>27</v>
      </c>
    </row>
    <row r="586" spans="1:6" x14ac:dyDescent="0.25">
      <c r="A586" t="s">
        <v>1111</v>
      </c>
      <c r="B586" t="s">
        <v>1112</v>
      </c>
      <c r="C586" t="s">
        <v>32</v>
      </c>
      <c r="D586" t="s">
        <v>23</v>
      </c>
      <c r="E586" t="s">
        <v>24</v>
      </c>
      <c r="F586">
        <v>24</v>
      </c>
    </row>
    <row r="587" spans="1:6" x14ac:dyDescent="0.25">
      <c r="A587" t="s">
        <v>1113</v>
      </c>
      <c r="B587" t="s">
        <v>602</v>
      </c>
      <c r="C587" t="s">
        <v>37</v>
      </c>
      <c r="D587" t="s">
        <v>23</v>
      </c>
      <c r="E587" t="s">
        <v>19</v>
      </c>
      <c r="F587">
        <v>50</v>
      </c>
    </row>
    <row r="588" spans="1:6" x14ac:dyDescent="0.25">
      <c r="A588" t="s">
        <v>1114</v>
      </c>
      <c r="B588" t="s">
        <v>1115</v>
      </c>
      <c r="C588" t="s">
        <v>22</v>
      </c>
      <c r="D588" t="s">
        <v>23</v>
      </c>
      <c r="E588" t="s">
        <v>24</v>
      </c>
      <c r="F588">
        <v>40</v>
      </c>
    </row>
    <row r="589" spans="1:6" x14ac:dyDescent="0.25">
      <c r="A589" t="s">
        <v>1116</v>
      </c>
      <c r="B589" t="s">
        <v>1117</v>
      </c>
      <c r="C589" t="s">
        <v>32</v>
      </c>
      <c r="D589" t="s">
        <v>23</v>
      </c>
      <c r="E589" t="s">
        <v>19</v>
      </c>
      <c r="F589">
        <v>38</v>
      </c>
    </row>
    <row r="590" spans="1:6" x14ac:dyDescent="0.25">
      <c r="A590" t="s">
        <v>1118</v>
      </c>
      <c r="B590" t="s">
        <v>1053</v>
      </c>
      <c r="C590" t="s">
        <v>22</v>
      </c>
      <c r="D590" t="s">
        <v>23</v>
      </c>
      <c r="E590" t="s">
        <v>24</v>
      </c>
      <c r="F590">
        <v>36</v>
      </c>
    </row>
    <row r="591" spans="1:6" x14ac:dyDescent="0.25">
      <c r="A591" t="s">
        <v>1119</v>
      </c>
      <c r="B591" t="s">
        <v>1120</v>
      </c>
      <c r="C591" t="s">
        <v>17</v>
      </c>
      <c r="D591" t="s">
        <v>23</v>
      </c>
      <c r="E591" t="s">
        <v>19</v>
      </c>
      <c r="F591">
        <v>36</v>
      </c>
    </row>
    <row r="592" spans="1:6" x14ac:dyDescent="0.25">
      <c r="A592" t="s">
        <v>1121</v>
      </c>
      <c r="B592" t="s">
        <v>1122</v>
      </c>
      <c r="C592" t="s">
        <v>17</v>
      </c>
      <c r="D592" t="s">
        <v>29</v>
      </c>
      <c r="E592" t="s">
        <v>19</v>
      </c>
      <c r="F592">
        <v>53</v>
      </c>
    </row>
    <row r="593" spans="1:6" x14ac:dyDescent="0.25">
      <c r="A593" t="s">
        <v>1123</v>
      </c>
      <c r="B593" t="s">
        <v>1124</v>
      </c>
      <c r="C593" t="s">
        <v>17</v>
      </c>
      <c r="D593" t="s">
        <v>18</v>
      </c>
      <c r="E593" t="s">
        <v>24</v>
      </c>
      <c r="F593">
        <v>46</v>
      </c>
    </row>
    <row r="594" spans="1:6" x14ac:dyDescent="0.25">
      <c r="A594" t="s">
        <v>1125</v>
      </c>
      <c r="B594" t="s">
        <v>1011</v>
      </c>
      <c r="C594" t="s">
        <v>37</v>
      </c>
      <c r="D594" t="s">
        <v>29</v>
      </c>
      <c r="E594" t="s">
        <v>19</v>
      </c>
      <c r="F594">
        <v>35</v>
      </c>
    </row>
    <row r="595" spans="1:6" x14ac:dyDescent="0.25">
      <c r="A595" t="s">
        <v>1126</v>
      </c>
      <c r="B595" t="s">
        <v>260</v>
      </c>
      <c r="C595" t="s">
        <v>22</v>
      </c>
      <c r="D595" t="s">
        <v>23</v>
      </c>
      <c r="E595" t="s">
        <v>24</v>
      </c>
      <c r="F595">
        <v>19</v>
      </c>
    </row>
    <row r="596" spans="1:6" x14ac:dyDescent="0.25">
      <c r="A596" t="s">
        <v>1127</v>
      </c>
      <c r="B596" t="s">
        <v>1128</v>
      </c>
      <c r="C596" t="s">
        <v>37</v>
      </c>
      <c r="D596" t="s">
        <v>23</v>
      </c>
      <c r="E596" t="s">
        <v>24</v>
      </c>
      <c r="F596">
        <v>18</v>
      </c>
    </row>
    <row r="597" spans="1:6" x14ac:dyDescent="0.25">
      <c r="A597" t="s">
        <v>1129</v>
      </c>
      <c r="B597" t="s">
        <v>1130</v>
      </c>
      <c r="C597" t="s">
        <v>32</v>
      </c>
      <c r="D597" t="s">
        <v>18</v>
      </c>
      <c r="E597" t="s">
        <v>24</v>
      </c>
      <c r="F597">
        <v>64</v>
      </c>
    </row>
    <row r="598" spans="1:6" x14ac:dyDescent="0.25">
      <c r="A598" t="s">
        <v>1131</v>
      </c>
      <c r="B598" t="s">
        <v>1132</v>
      </c>
      <c r="C598" t="s">
        <v>17</v>
      </c>
      <c r="D598" t="s">
        <v>23</v>
      </c>
      <c r="E598" t="s">
        <v>19</v>
      </c>
      <c r="F598">
        <v>22</v>
      </c>
    </row>
    <row r="599" spans="1:6" x14ac:dyDescent="0.25">
      <c r="A599" t="s">
        <v>1133</v>
      </c>
      <c r="B599" t="s">
        <v>958</v>
      </c>
      <c r="C599" t="s">
        <v>17</v>
      </c>
      <c r="D599" t="s">
        <v>23</v>
      </c>
      <c r="E599" t="s">
        <v>19</v>
      </c>
      <c r="F599">
        <v>37</v>
      </c>
    </row>
    <row r="600" spans="1:6" x14ac:dyDescent="0.25">
      <c r="A600" t="s">
        <v>1134</v>
      </c>
      <c r="B600" t="s">
        <v>1135</v>
      </c>
      <c r="C600" t="s">
        <v>37</v>
      </c>
      <c r="D600" t="s">
        <v>18</v>
      </c>
      <c r="E600" t="s">
        <v>24</v>
      </c>
      <c r="F600">
        <v>28</v>
      </c>
    </row>
    <row r="601" spans="1:6" x14ac:dyDescent="0.25">
      <c r="A601" t="s">
        <v>1136</v>
      </c>
      <c r="B601" t="s">
        <v>830</v>
      </c>
      <c r="C601" t="s">
        <v>17</v>
      </c>
      <c r="D601" t="s">
        <v>18</v>
      </c>
      <c r="E601" t="s">
        <v>24</v>
      </c>
      <c r="F601">
        <v>59</v>
      </c>
    </row>
    <row r="602" spans="1:6" x14ac:dyDescent="0.25">
      <c r="A602" t="s">
        <v>1137</v>
      </c>
      <c r="B602" t="s">
        <v>1138</v>
      </c>
      <c r="C602" t="s">
        <v>37</v>
      </c>
      <c r="D602" t="s">
        <v>23</v>
      </c>
      <c r="E602" t="s">
        <v>19</v>
      </c>
      <c r="F602">
        <v>19</v>
      </c>
    </row>
    <row r="603" spans="1:6" x14ac:dyDescent="0.25">
      <c r="A603" t="s">
        <v>1139</v>
      </c>
      <c r="B603" t="s">
        <v>1140</v>
      </c>
      <c r="C603" t="s">
        <v>17</v>
      </c>
      <c r="D603" t="s">
        <v>29</v>
      </c>
      <c r="E603" t="s">
        <v>24</v>
      </c>
      <c r="F603">
        <v>20</v>
      </c>
    </row>
    <row r="604" spans="1:6" x14ac:dyDescent="0.25">
      <c r="A604" t="s">
        <v>1141</v>
      </c>
      <c r="B604" t="s">
        <v>1142</v>
      </c>
      <c r="C604" t="s">
        <v>32</v>
      </c>
      <c r="D604" t="s">
        <v>23</v>
      </c>
      <c r="E604" t="s">
        <v>24</v>
      </c>
      <c r="F604">
        <v>40</v>
      </c>
    </row>
    <row r="605" spans="1:6" x14ac:dyDescent="0.25">
      <c r="A605" t="s">
        <v>1143</v>
      </c>
      <c r="B605" t="s">
        <v>1144</v>
      </c>
      <c r="C605" t="s">
        <v>37</v>
      </c>
      <c r="D605" t="s">
        <v>29</v>
      </c>
      <c r="E605" t="s">
        <v>24</v>
      </c>
      <c r="F605">
        <v>29</v>
      </c>
    </row>
    <row r="606" spans="1:6" x14ac:dyDescent="0.25">
      <c r="A606" t="s">
        <v>1145</v>
      </c>
      <c r="B606" t="s">
        <v>1146</v>
      </c>
      <c r="C606" t="s">
        <v>17</v>
      </c>
      <c r="D606" t="s">
        <v>23</v>
      </c>
      <c r="E606" t="s">
        <v>19</v>
      </c>
      <c r="F606">
        <v>37</v>
      </c>
    </row>
    <row r="607" spans="1:6" x14ac:dyDescent="0.25">
      <c r="A607" t="s">
        <v>1147</v>
      </c>
      <c r="B607" t="s">
        <v>483</v>
      </c>
      <c r="C607" t="s">
        <v>17</v>
      </c>
      <c r="D607" t="s">
        <v>23</v>
      </c>
      <c r="E607" t="s">
        <v>19</v>
      </c>
      <c r="F607">
        <v>22</v>
      </c>
    </row>
    <row r="608" spans="1:6" x14ac:dyDescent="0.25">
      <c r="A608" t="s">
        <v>1148</v>
      </c>
      <c r="B608" t="s">
        <v>250</v>
      </c>
      <c r="C608" t="s">
        <v>37</v>
      </c>
      <c r="D608" t="s">
        <v>29</v>
      </c>
      <c r="E608" t="s">
        <v>19</v>
      </c>
      <c r="F608">
        <v>54</v>
      </c>
    </row>
    <row r="609" spans="1:6" x14ac:dyDescent="0.25">
      <c r="A609" t="s">
        <v>1149</v>
      </c>
      <c r="B609" t="s">
        <v>1150</v>
      </c>
      <c r="C609" t="s">
        <v>17</v>
      </c>
      <c r="D609" t="s">
        <v>23</v>
      </c>
      <c r="E609" t="s">
        <v>24</v>
      </c>
      <c r="F609">
        <v>55</v>
      </c>
    </row>
    <row r="610" spans="1:6" x14ac:dyDescent="0.25">
      <c r="A610" t="s">
        <v>1151</v>
      </c>
      <c r="B610" t="s">
        <v>1152</v>
      </c>
      <c r="C610" t="s">
        <v>22</v>
      </c>
      <c r="D610" t="s">
        <v>29</v>
      </c>
      <c r="E610" t="s">
        <v>24</v>
      </c>
      <c r="F610">
        <v>47</v>
      </c>
    </row>
    <row r="611" spans="1:6" x14ac:dyDescent="0.25">
      <c r="A611" t="s">
        <v>1153</v>
      </c>
      <c r="B611" t="s">
        <v>1154</v>
      </c>
      <c r="C611" t="s">
        <v>22</v>
      </c>
      <c r="D611" t="s">
        <v>23</v>
      </c>
      <c r="E611" t="s">
        <v>24</v>
      </c>
      <c r="F611">
        <v>26</v>
      </c>
    </row>
    <row r="612" spans="1:6" x14ac:dyDescent="0.25">
      <c r="A612" t="s">
        <v>1155</v>
      </c>
      <c r="B612" t="s">
        <v>572</v>
      </c>
      <c r="C612" t="s">
        <v>17</v>
      </c>
      <c r="D612" t="s">
        <v>18</v>
      </c>
      <c r="E612" t="s">
        <v>19</v>
      </c>
      <c r="F612">
        <v>51</v>
      </c>
    </row>
    <row r="613" spans="1:6" x14ac:dyDescent="0.25">
      <c r="A613" t="s">
        <v>1156</v>
      </c>
      <c r="B613" t="s">
        <v>1157</v>
      </c>
      <c r="C613" t="s">
        <v>32</v>
      </c>
      <c r="D613" t="s">
        <v>18</v>
      </c>
      <c r="E613" t="s">
        <v>24</v>
      </c>
      <c r="F613">
        <v>61</v>
      </c>
    </row>
    <row r="614" spans="1:6" x14ac:dyDescent="0.25">
      <c r="A614" t="s">
        <v>1158</v>
      </c>
      <c r="B614" t="s">
        <v>1159</v>
      </c>
      <c r="C614" t="s">
        <v>32</v>
      </c>
      <c r="D614" t="s">
        <v>23</v>
      </c>
      <c r="E614" t="s">
        <v>24</v>
      </c>
      <c r="F614">
        <v>52</v>
      </c>
    </row>
    <row r="615" spans="1:6" x14ac:dyDescent="0.25">
      <c r="A615" t="s">
        <v>1160</v>
      </c>
      <c r="B615" t="s">
        <v>1161</v>
      </c>
      <c r="C615" t="s">
        <v>22</v>
      </c>
      <c r="D615" t="s">
        <v>29</v>
      </c>
      <c r="E615" t="s">
        <v>24</v>
      </c>
      <c r="F615">
        <v>39</v>
      </c>
    </row>
    <row r="616" spans="1:6" x14ac:dyDescent="0.25">
      <c r="A616" t="s">
        <v>1162</v>
      </c>
      <c r="B616" t="s">
        <v>539</v>
      </c>
      <c r="C616" t="s">
        <v>37</v>
      </c>
      <c r="D616" t="s">
        <v>23</v>
      </c>
      <c r="E616" t="s">
        <v>24</v>
      </c>
      <c r="F616">
        <v>61</v>
      </c>
    </row>
    <row r="617" spans="1:6" x14ac:dyDescent="0.25">
      <c r="A617" t="s">
        <v>1163</v>
      </c>
      <c r="B617" t="s">
        <v>1164</v>
      </c>
      <c r="C617" t="s">
        <v>17</v>
      </c>
      <c r="D617" t="s">
        <v>23</v>
      </c>
      <c r="E617" t="s">
        <v>19</v>
      </c>
      <c r="F617">
        <v>41</v>
      </c>
    </row>
    <row r="618" spans="1:6" x14ac:dyDescent="0.25">
      <c r="A618" t="s">
        <v>1165</v>
      </c>
      <c r="B618" t="s">
        <v>1166</v>
      </c>
      <c r="C618" t="s">
        <v>17</v>
      </c>
      <c r="D618" t="s">
        <v>23</v>
      </c>
      <c r="E618" t="s">
        <v>19</v>
      </c>
      <c r="F618">
        <v>34</v>
      </c>
    </row>
    <row r="619" spans="1:6" x14ac:dyDescent="0.25">
      <c r="A619" t="s">
        <v>1167</v>
      </c>
      <c r="B619" t="s">
        <v>1168</v>
      </c>
      <c r="C619" t="s">
        <v>32</v>
      </c>
      <c r="D619" t="s">
        <v>18</v>
      </c>
      <c r="E619" t="s">
        <v>24</v>
      </c>
      <c r="F619">
        <v>27</v>
      </c>
    </row>
    <row r="620" spans="1:6" x14ac:dyDescent="0.25">
      <c r="A620" t="s">
        <v>1169</v>
      </c>
      <c r="B620" t="s">
        <v>1170</v>
      </c>
      <c r="C620" t="s">
        <v>37</v>
      </c>
      <c r="D620" t="s">
        <v>18</v>
      </c>
      <c r="E620" t="s">
        <v>19</v>
      </c>
      <c r="F620">
        <v>47</v>
      </c>
    </row>
    <row r="621" spans="1:6" x14ac:dyDescent="0.25">
      <c r="A621" t="s">
        <v>1171</v>
      </c>
      <c r="B621" t="s">
        <v>576</v>
      </c>
      <c r="C621" t="s">
        <v>17</v>
      </c>
      <c r="D621" t="s">
        <v>18</v>
      </c>
      <c r="E621" t="s">
        <v>19</v>
      </c>
      <c r="F621">
        <v>63</v>
      </c>
    </row>
    <row r="622" spans="1:6" x14ac:dyDescent="0.25">
      <c r="A622" t="s">
        <v>1172</v>
      </c>
      <c r="B622" t="s">
        <v>181</v>
      </c>
      <c r="C622" t="s">
        <v>17</v>
      </c>
      <c r="D622" t="s">
        <v>18</v>
      </c>
      <c r="E622" t="s">
        <v>24</v>
      </c>
      <c r="F622">
        <v>40</v>
      </c>
    </row>
    <row r="623" spans="1:6" x14ac:dyDescent="0.25">
      <c r="A623" t="s">
        <v>1173</v>
      </c>
      <c r="B623" t="s">
        <v>1174</v>
      </c>
      <c r="C623" t="s">
        <v>22</v>
      </c>
      <c r="D623" t="s">
        <v>18</v>
      </c>
      <c r="E623" t="s">
        <v>24</v>
      </c>
      <c r="F623">
        <v>49</v>
      </c>
    </row>
    <row r="624" spans="1:6" x14ac:dyDescent="0.25">
      <c r="A624" t="s">
        <v>1175</v>
      </c>
      <c r="B624" t="s">
        <v>1176</v>
      </c>
      <c r="C624" t="s">
        <v>37</v>
      </c>
      <c r="D624" t="s">
        <v>23</v>
      </c>
      <c r="E624" t="s">
        <v>19</v>
      </c>
      <c r="F624">
        <v>34</v>
      </c>
    </row>
    <row r="625" spans="1:6" x14ac:dyDescent="0.25">
      <c r="A625" t="s">
        <v>1177</v>
      </c>
      <c r="B625" t="s">
        <v>1178</v>
      </c>
      <c r="C625" t="s">
        <v>17</v>
      </c>
      <c r="D625" t="s">
        <v>18</v>
      </c>
      <c r="E625" t="s">
        <v>24</v>
      </c>
      <c r="F625">
        <v>34</v>
      </c>
    </row>
    <row r="626" spans="1:6" x14ac:dyDescent="0.25">
      <c r="A626" t="s">
        <v>1179</v>
      </c>
      <c r="B626" t="s">
        <v>1180</v>
      </c>
      <c r="C626" t="s">
        <v>22</v>
      </c>
      <c r="D626" t="s">
        <v>29</v>
      </c>
      <c r="E626" t="s">
        <v>19</v>
      </c>
      <c r="F626">
        <v>31</v>
      </c>
    </row>
    <row r="627" spans="1:6" x14ac:dyDescent="0.25">
      <c r="A627" t="s">
        <v>1181</v>
      </c>
      <c r="B627" t="s">
        <v>1182</v>
      </c>
      <c r="C627" t="s">
        <v>32</v>
      </c>
      <c r="D627" t="s">
        <v>23</v>
      </c>
      <c r="E627" t="s">
        <v>24</v>
      </c>
      <c r="F627">
        <v>26</v>
      </c>
    </row>
    <row r="628" spans="1:6" x14ac:dyDescent="0.25">
      <c r="A628" t="s">
        <v>1183</v>
      </c>
      <c r="B628" t="s">
        <v>1184</v>
      </c>
      <c r="C628" t="s">
        <v>22</v>
      </c>
      <c r="D628" t="s">
        <v>29</v>
      </c>
      <c r="E628" t="s">
        <v>19</v>
      </c>
      <c r="F628">
        <v>57</v>
      </c>
    </row>
    <row r="629" spans="1:6" x14ac:dyDescent="0.25">
      <c r="A629" t="s">
        <v>1185</v>
      </c>
      <c r="B629" t="s">
        <v>1186</v>
      </c>
      <c r="C629" t="s">
        <v>17</v>
      </c>
      <c r="D629" t="s">
        <v>23</v>
      </c>
      <c r="E629" t="s">
        <v>24</v>
      </c>
      <c r="F629">
        <v>19</v>
      </c>
    </row>
    <row r="630" spans="1:6" x14ac:dyDescent="0.25">
      <c r="A630" t="s">
        <v>1187</v>
      </c>
      <c r="B630" t="s">
        <v>1188</v>
      </c>
      <c r="C630" t="s">
        <v>17</v>
      </c>
      <c r="D630" t="s">
        <v>23</v>
      </c>
      <c r="E630" t="s">
        <v>19</v>
      </c>
      <c r="F630">
        <v>62</v>
      </c>
    </row>
    <row r="631" spans="1:6" x14ac:dyDescent="0.25">
      <c r="A631" t="s">
        <v>1189</v>
      </c>
      <c r="B631" t="s">
        <v>1190</v>
      </c>
      <c r="C631" t="s">
        <v>22</v>
      </c>
      <c r="D631" t="s">
        <v>23</v>
      </c>
      <c r="E631" t="s">
        <v>19</v>
      </c>
      <c r="F631">
        <v>42</v>
      </c>
    </row>
    <row r="632" spans="1:6" x14ac:dyDescent="0.25">
      <c r="A632" t="s">
        <v>1191</v>
      </c>
      <c r="B632" t="s">
        <v>1192</v>
      </c>
      <c r="C632" t="s">
        <v>22</v>
      </c>
      <c r="D632" t="s">
        <v>23</v>
      </c>
      <c r="E632" t="s">
        <v>19</v>
      </c>
      <c r="F632">
        <v>56</v>
      </c>
    </row>
    <row r="633" spans="1:6" x14ac:dyDescent="0.25">
      <c r="A633" t="s">
        <v>1193</v>
      </c>
      <c r="B633" t="s">
        <v>1194</v>
      </c>
      <c r="C633" t="s">
        <v>37</v>
      </c>
      <c r="D633" t="s">
        <v>23</v>
      </c>
      <c r="E633" t="s">
        <v>24</v>
      </c>
      <c r="F633">
        <v>26</v>
      </c>
    </row>
    <row r="634" spans="1:6" x14ac:dyDescent="0.25">
      <c r="A634" t="s">
        <v>1195</v>
      </c>
      <c r="B634" t="s">
        <v>343</v>
      </c>
      <c r="C634" t="s">
        <v>32</v>
      </c>
      <c r="D634" t="s">
        <v>18</v>
      </c>
      <c r="E634" t="s">
        <v>19</v>
      </c>
      <c r="F634">
        <v>39</v>
      </c>
    </row>
    <row r="635" spans="1:6" x14ac:dyDescent="0.25">
      <c r="A635" t="s">
        <v>1196</v>
      </c>
      <c r="B635" t="s">
        <v>1197</v>
      </c>
      <c r="C635" t="s">
        <v>32</v>
      </c>
      <c r="D635" t="s">
        <v>29</v>
      </c>
      <c r="E635" t="s">
        <v>19</v>
      </c>
      <c r="F635">
        <v>60</v>
      </c>
    </row>
    <row r="636" spans="1:6" x14ac:dyDescent="0.25">
      <c r="A636" t="s">
        <v>1198</v>
      </c>
      <c r="B636" t="s">
        <v>1057</v>
      </c>
      <c r="C636" t="s">
        <v>37</v>
      </c>
      <c r="D636" t="s">
        <v>29</v>
      </c>
      <c r="E636" t="s">
        <v>24</v>
      </c>
      <c r="F636">
        <v>63</v>
      </c>
    </row>
    <row r="637" spans="1:6" x14ac:dyDescent="0.25">
      <c r="A637" t="s">
        <v>1199</v>
      </c>
      <c r="B637" t="s">
        <v>1200</v>
      </c>
      <c r="C637" t="s">
        <v>22</v>
      </c>
      <c r="D637" t="s">
        <v>23</v>
      </c>
      <c r="E637" t="s">
        <v>24</v>
      </c>
      <c r="F637">
        <v>21</v>
      </c>
    </row>
    <row r="638" spans="1:6" x14ac:dyDescent="0.25">
      <c r="A638" t="s">
        <v>1201</v>
      </c>
      <c r="B638" t="s">
        <v>434</v>
      </c>
      <c r="C638" t="s">
        <v>22</v>
      </c>
      <c r="D638" t="s">
        <v>23</v>
      </c>
      <c r="E638" t="s">
        <v>19</v>
      </c>
      <c r="F638">
        <v>43</v>
      </c>
    </row>
    <row r="639" spans="1:6" x14ac:dyDescent="0.25">
      <c r="A639" t="s">
        <v>1202</v>
      </c>
      <c r="B639" t="s">
        <v>194</v>
      </c>
      <c r="C639" t="s">
        <v>37</v>
      </c>
      <c r="D639" t="s">
        <v>23</v>
      </c>
      <c r="E639" t="s">
        <v>19</v>
      </c>
      <c r="F639">
        <v>46</v>
      </c>
    </row>
    <row r="640" spans="1:6" x14ac:dyDescent="0.25">
      <c r="A640" t="s">
        <v>1203</v>
      </c>
      <c r="B640" t="s">
        <v>1204</v>
      </c>
      <c r="C640" t="s">
        <v>17</v>
      </c>
      <c r="D640" t="s">
        <v>18</v>
      </c>
      <c r="E640" t="s">
        <v>24</v>
      </c>
      <c r="F640">
        <v>62</v>
      </c>
    </row>
    <row r="641" spans="1:6" x14ac:dyDescent="0.25">
      <c r="A641" t="s">
        <v>1205</v>
      </c>
      <c r="B641" t="s">
        <v>1206</v>
      </c>
      <c r="C641" t="s">
        <v>32</v>
      </c>
      <c r="D641" t="s">
        <v>23</v>
      </c>
      <c r="E641" t="s">
        <v>24</v>
      </c>
      <c r="F641">
        <v>51</v>
      </c>
    </row>
    <row r="642" spans="1:6" x14ac:dyDescent="0.25">
      <c r="A642" t="s">
        <v>1207</v>
      </c>
      <c r="B642" t="s">
        <v>333</v>
      </c>
      <c r="C642" t="s">
        <v>32</v>
      </c>
      <c r="D642" t="s">
        <v>29</v>
      </c>
      <c r="E642" t="s">
        <v>24</v>
      </c>
      <c r="F642">
        <v>40</v>
      </c>
    </row>
    <row r="643" spans="1:6" x14ac:dyDescent="0.25">
      <c r="A643" t="s">
        <v>1208</v>
      </c>
      <c r="B643" t="s">
        <v>1209</v>
      </c>
      <c r="C643" t="s">
        <v>17</v>
      </c>
      <c r="D643" t="s">
        <v>29</v>
      </c>
      <c r="E643" t="s">
        <v>24</v>
      </c>
      <c r="F643">
        <v>54</v>
      </c>
    </row>
    <row r="644" spans="1:6" x14ac:dyDescent="0.25">
      <c r="A644" t="s">
        <v>1210</v>
      </c>
      <c r="B644" t="s">
        <v>1211</v>
      </c>
      <c r="C644" t="s">
        <v>22</v>
      </c>
      <c r="D644" t="s">
        <v>29</v>
      </c>
      <c r="E644" t="s">
        <v>24</v>
      </c>
      <c r="F644">
        <v>28</v>
      </c>
    </row>
    <row r="645" spans="1:6" x14ac:dyDescent="0.25">
      <c r="A645" t="s">
        <v>1212</v>
      </c>
      <c r="B645" t="s">
        <v>1213</v>
      </c>
      <c r="C645" t="s">
        <v>17</v>
      </c>
      <c r="D645" t="s">
        <v>18</v>
      </c>
      <c r="E645" t="s">
        <v>19</v>
      </c>
      <c r="F645">
        <v>23</v>
      </c>
    </row>
    <row r="646" spans="1:6" x14ac:dyDescent="0.25">
      <c r="A646" t="s">
        <v>1214</v>
      </c>
      <c r="B646" t="s">
        <v>1215</v>
      </c>
      <c r="C646" t="s">
        <v>17</v>
      </c>
      <c r="D646" t="s">
        <v>23</v>
      </c>
      <c r="E646" t="s">
        <v>24</v>
      </c>
      <c r="F646">
        <v>35</v>
      </c>
    </row>
    <row r="647" spans="1:6" x14ac:dyDescent="0.25">
      <c r="A647" t="s">
        <v>1216</v>
      </c>
      <c r="B647" t="s">
        <v>1217</v>
      </c>
      <c r="C647" t="s">
        <v>22</v>
      </c>
      <c r="D647" t="s">
        <v>18</v>
      </c>
      <c r="E647" t="s">
        <v>19</v>
      </c>
      <c r="F647">
        <v>38</v>
      </c>
    </row>
    <row r="648" spans="1:6" x14ac:dyDescent="0.25">
      <c r="A648" t="s">
        <v>1218</v>
      </c>
      <c r="B648" t="s">
        <v>1219</v>
      </c>
      <c r="C648" t="s">
        <v>22</v>
      </c>
      <c r="D648" t="s">
        <v>29</v>
      </c>
      <c r="E648" t="s">
        <v>19</v>
      </c>
      <c r="F648">
        <v>59</v>
      </c>
    </row>
    <row r="649" spans="1:6" x14ac:dyDescent="0.25">
      <c r="A649" t="s">
        <v>1220</v>
      </c>
      <c r="B649" t="s">
        <v>1221</v>
      </c>
      <c r="C649" t="s">
        <v>37</v>
      </c>
      <c r="D649" t="s">
        <v>29</v>
      </c>
      <c r="E649" t="s">
        <v>19</v>
      </c>
      <c r="F649">
        <v>53</v>
      </c>
    </row>
    <row r="650" spans="1:6" x14ac:dyDescent="0.25">
      <c r="A650" t="s">
        <v>1222</v>
      </c>
      <c r="B650" t="s">
        <v>1223</v>
      </c>
      <c r="C650" t="s">
        <v>37</v>
      </c>
      <c r="D650" t="s">
        <v>29</v>
      </c>
      <c r="E650" t="s">
        <v>24</v>
      </c>
      <c r="F650">
        <v>58</v>
      </c>
    </row>
    <row r="651" spans="1:6" x14ac:dyDescent="0.25">
      <c r="A651" t="s">
        <v>1224</v>
      </c>
      <c r="B651" t="s">
        <v>367</v>
      </c>
      <c r="C651" t="s">
        <v>37</v>
      </c>
      <c r="D651" t="s">
        <v>18</v>
      </c>
      <c r="E651" t="s">
        <v>19</v>
      </c>
      <c r="F651">
        <v>55</v>
      </c>
    </row>
    <row r="652" spans="1:6" x14ac:dyDescent="0.25">
      <c r="A652" t="s">
        <v>1225</v>
      </c>
      <c r="B652" t="s">
        <v>266</v>
      </c>
      <c r="C652" t="s">
        <v>17</v>
      </c>
      <c r="D652" t="s">
        <v>18</v>
      </c>
      <c r="E652" t="s">
        <v>19</v>
      </c>
      <c r="F652">
        <v>51</v>
      </c>
    </row>
    <row r="653" spans="1:6" x14ac:dyDescent="0.25">
      <c r="A653" t="s">
        <v>1226</v>
      </c>
      <c r="B653" t="s">
        <v>808</v>
      </c>
      <c r="C653" t="s">
        <v>17</v>
      </c>
      <c r="D653" t="s">
        <v>23</v>
      </c>
      <c r="E653" t="s">
        <v>24</v>
      </c>
      <c r="F653">
        <v>34</v>
      </c>
    </row>
    <row r="654" spans="1:6" x14ac:dyDescent="0.25">
      <c r="A654" t="s">
        <v>1227</v>
      </c>
      <c r="B654" t="s">
        <v>1228</v>
      </c>
      <c r="C654" t="s">
        <v>17</v>
      </c>
      <c r="D654" t="s">
        <v>18</v>
      </c>
      <c r="E654" t="s">
        <v>19</v>
      </c>
      <c r="F654">
        <v>54</v>
      </c>
    </row>
    <row r="655" spans="1:6" x14ac:dyDescent="0.25">
      <c r="A655" t="s">
        <v>1229</v>
      </c>
      <c r="B655" t="s">
        <v>812</v>
      </c>
      <c r="C655" t="s">
        <v>17</v>
      </c>
      <c r="D655" t="s">
        <v>29</v>
      </c>
      <c r="E655" t="s">
        <v>19</v>
      </c>
      <c r="F655">
        <v>42</v>
      </c>
    </row>
    <row r="656" spans="1:6" x14ac:dyDescent="0.25">
      <c r="A656" t="s">
        <v>1230</v>
      </c>
      <c r="B656" t="s">
        <v>1231</v>
      </c>
      <c r="C656" t="s">
        <v>37</v>
      </c>
      <c r="D656" t="s">
        <v>23</v>
      </c>
      <c r="E656" t="s">
        <v>24</v>
      </c>
      <c r="F656">
        <v>55</v>
      </c>
    </row>
    <row r="657" spans="1:6" x14ac:dyDescent="0.25">
      <c r="A657" t="s">
        <v>1232</v>
      </c>
      <c r="B657" t="s">
        <v>1233</v>
      </c>
      <c r="C657" t="s">
        <v>22</v>
      </c>
      <c r="D657" t="s">
        <v>18</v>
      </c>
      <c r="E657" t="s">
        <v>19</v>
      </c>
      <c r="F657">
        <v>29</v>
      </c>
    </row>
    <row r="658" spans="1:6" x14ac:dyDescent="0.25">
      <c r="A658" t="s">
        <v>1234</v>
      </c>
      <c r="B658" t="s">
        <v>1235</v>
      </c>
      <c r="C658" t="s">
        <v>17</v>
      </c>
      <c r="D658" t="s">
        <v>23</v>
      </c>
      <c r="E658" t="s">
        <v>19</v>
      </c>
      <c r="F658">
        <v>40</v>
      </c>
    </row>
    <row r="659" spans="1:6" x14ac:dyDescent="0.25">
      <c r="A659" t="s">
        <v>1236</v>
      </c>
      <c r="B659" t="s">
        <v>176</v>
      </c>
      <c r="C659" t="s">
        <v>37</v>
      </c>
      <c r="D659" t="s">
        <v>29</v>
      </c>
      <c r="E659" t="s">
        <v>19</v>
      </c>
      <c r="F659">
        <v>59</v>
      </c>
    </row>
    <row r="660" spans="1:6" x14ac:dyDescent="0.25">
      <c r="A660" t="s">
        <v>1237</v>
      </c>
      <c r="B660" t="s">
        <v>1238</v>
      </c>
      <c r="C660" t="s">
        <v>22</v>
      </c>
      <c r="D660" t="s">
        <v>23</v>
      </c>
      <c r="E660" t="s">
        <v>24</v>
      </c>
      <c r="F660">
        <v>39</v>
      </c>
    </row>
    <row r="661" spans="1:6" x14ac:dyDescent="0.25">
      <c r="A661" t="s">
        <v>1239</v>
      </c>
      <c r="B661" t="s">
        <v>1240</v>
      </c>
      <c r="C661" t="s">
        <v>17</v>
      </c>
      <c r="D661" t="s">
        <v>23</v>
      </c>
      <c r="E661" t="s">
        <v>24</v>
      </c>
      <c r="F661">
        <v>38</v>
      </c>
    </row>
    <row r="662" spans="1:6" x14ac:dyDescent="0.25">
      <c r="A662" t="s">
        <v>1241</v>
      </c>
      <c r="B662" t="s">
        <v>1242</v>
      </c>
      <c r="C662" t="s">
        <v>17</v>
      </c>
      <c r="D662" t="s">
        <v>18</v>
      </c>
      <c r="E662" t="s">
        <v>24</v>
      </c>
      <c r="F662">
        <v>44</v>
      </c>
    </row>
    <row r="663" spans="1:6" x14ac:dyDescent="0.25">
      <c r="A663" t="s">
        <v>1243</v>
      </c>
      <c r="B663" t="s">
        <v>965</v>
      </c>
      <c r="C663" t="s">
        <v>32</v>
      </c>
      <c r="D663" t="s">
        <v>23</v>
      </c>
      <c r="E663" t="s">
        <v>19</v>
      </c>
      <c r="F663">
        <v>48</v>
      </c>
    </row>
    <row r="664" spans="1:6" x14ac:dyDescent="0.25">
      <c r="A664" t="s">
        <v>1244</v>
      </c>
      <c r="B664" t="s">
        <v>1245</v>
      </c>
      <c r="C664" t="s">
        <v>37</v>
      </c>
      <c r="D664" t="s">
        <v>23</v>
      </c>
      <c r="E664" t="s">
        <v>19</v>
      </c>
      <c r="F664">
        <v>23</v>
      </c>
    </row>
    <row r="665" spans="1:6" x14ac:dyDescent="0.25">
      <c r="A665" t="s">
        <v>1246</v>
      </c>
      <c r="B665" t="s">
        <v>1247</v>
      </c>
      <c r="C665" t="s">
        <v>17</v>
      </c>
      <c r="D665" t="s">
        <v>23</v>
      </c>
      <c r="E665" t="s">
        <v>24</v>
      </c>
      <c r="F665">
        <v>44</v>
      </c>
    </row>
    <row r="666" spans="1:6" x14ac:dyDescent="0.25">
      <c r="A666" t="s">
        <v>1248</v>
      </c>
      <c r="B666" t="s">
        <v>1249</v>
      </c>
      <c r="C666" t="s">
        <v>37</v>
      </c>
      <c r="D666" t="s">
        <v>23</v>
      </c>
      <c r="E666" t="s">
        <v>19</v>
      </c>
      <c r="F666">
        <v>57</v>
      </c>
    </row>
    <row r="667" spans="1:6" x14ac:dyDescent="0.25">
      <c r="A667" t="s">
        <v>1250</v>
      </c>
      <c r="B667" t="s">
        <v>881</v>
      </c>
      <c r="C667" t="s">
        <v>37</v>
      </c>
      <c r="D667" t="s">
        <v>18</v>
      </c>
      <c r="E667" t="s">
        <v>19</v>
      </c>
      <c r="F667">
        <v>51</v>
      </c>
    </row>
    <row r="668" spans="1:6" x14ac:dyDescent="0.25">
      <c r="A668" t="s">
        <v>1251</v>
      </c>
      <c r="B668" t="s">
        <v>115</v>
      </c>
      <c r="C668" t="s">
        <v>37</v>
      </c>
      <c r="D668" t="s">
        <v>18</v>
      </c>
      <c r="E668" t="s">
        <v>24</v>
      </c>
      <c r="F668">
        <v>29</v>
      </c>
    </row>
    <row r="669" spans="1:6" x14ac:dyDescent="0.25">
      <c r="A669" t="s">
        <v>1252</v>
      </c>
      <c r="B669" t="s">
        <v>34</v>
      </c>
      <c r="C669" t="s">
        <v>17</v>
      </c>
      <c r="D669" t="s">
        <v>23</v>
      </c>
      <c r="E669" t="s">
        <v>24</v>
      </c>
      <c r="F669">
        <v>62</v>
      </c>
    </row>
    <row r="670" spans="1:6" x14ac:dyDescent="0.25">
      <c r="A670" t="s">
        <v>1253</v>
      </c>
      <c r="B670" t="s">
        <v>357</v>
      </c>
      <c r="C670" t="s">
        <v>17</v>
      </c>
      <c r="D670" t="s">
        <v>29</v>
      </c>
      <c r="E670" t="s">
        <v>19</v>
      </c>
      <c r="F670">
        <v>24</v>
      </c>
    </row>
    <row r="671" spans="1:6" x14ac:dyDescent="0.25">
      <c r="A671" t="s">
        <v>1254</v>
      </c>
      <c r="B671" t="s">
        <v>1255</v>
      </c>
      <c r="C671" t="s">
        <v>37</v>
      </c>
      <c r="D671" t="s">
        <v>23</v>
      </c>
      <c r="E671" t="s">
        <v>19</v>
      </c>
      <c r="F671">
        <v>27</v>
      </c>
    </row>
    <row r="672" spans="1:6" x14ac:dyDescent="0.25">
      <c r="A672" t="s">
        <v>1256</v>
      </c>
      <c r="B672" t="s">
        <v>1257</v>
      </c>
      <c r="C672" t="s">
        <v>22</v>
      </c>
      <c r="D672" t="s">
        <v>29</v>
      </c>
      <c r="E672" t="s">
        <v>19</v>
      </c>
      <c r="F672">
        <v>62</v>
      </c>
    </row>
    <row r="673" spans="1:6" x14ac:dyDescent="0.25">
      <c r="A673" t="s">
        <v>1258</v>
      </c>
      <c r="B673" t="s">
        <v>1259</v>
      </c>
      <c r="C673" t="s">
        <v>32</v>
      </c>
      <c r="D673" t="s">
        <v>23</v>
      </c>
      <c r="E673" t="s">
        <v>24</v>
      </c>
      <c r="F673">
        <v>34</v>
      </c>
    </row>
    <row r="674" spans="1:6" x14ac:dyDescent="0.25">
      <c r="A674" t="s">
        <v>1260</v>
      </c>
      <c r="B674" t="s">
        <v>1261</v>
      </c>
      <c r="C674" t="s">
        <v>32</v>
      </c>
      <c r="D674" t="s">
        <v>23</v>
      </c>
      <c r="E674" t="s">
        <v>24</v>
      </c>
      <c r="F674">
        <v>43</v>
      </c>
    </row>
    <row r="675" spans="1:6" x14ac:dyDescent="0.25">
      <c r="A675" t="s">
        <v>1262</v>
      </c>
      <c r="B675" t="s">
        <v>1263</v>
      </c>
      <c r="C675" t="s">
        <v>17</v>
      </c>
      <c r="D675" t="s">
        <v>23</v>
      </c>
      <c r="E675" t="s">
        <v>24</v>
      </c>
      <c r="F675">
        <v>38</v>
      </c>
    </row>
    <row r="676" spans="1:6" x14ac:dyDescent="0.25">
      <c r="A676" t="s">
        <v>1264</v>
      </c>
      <c r="B676" t="s">
        <v>692</v>
      </c>
      <c r="C676" t="s">
        <v>37</v>
      </c>
      <c r="D676" t="s">
        <v>29</v>
      </c>
      <c r="E676" t="s">
        <v>24</v>
      </c>
      <c r="F676">
        <v>45</v>
      </c>
    </row>
    <row r="677" spans="1:6" x14ac:dyDescent="0.25">
      <c r="A677" t="s">
        <v>1265</v>
      </c>
      <c r="B677" t="s">
        <v>1266</v>
      </c>
      <c r="C677" t="s">
        <v>37</v>
      </c>
      <c r="D677" t="s">
        <v>29</v>
      </c>
      <c r="E677" t="s">
        <v>19</v>
      </c>
      <c r="F677">
        <v>63</v>
      </c>
    </row>
    <row r="678" spans="1:6" x14ac:dyDescent="0.25">
      <c r="A678" t="s">
        <v>1267</v>
      </c>
      <c r="B678" t="s">
        <v>1268</v>
      </c>
      <c r="C678" t="s">
        <v>32</v>
      </c>
      <c r="D678" t="s">
        <v>23</v>
      </c>
      <c r="E678" t="s">
        <v>24</v>
      </c>
      <c r="F678">
        <v>19</v>
      </c>
    </row>
    <row r="679" spans="1:6" x14ac:dyDescent="0.25">
      <c r="A679" t="s">
        <v>1269</v>
      </c>
      <c r="B679" t="s">
        <v>1270</v>
      </c>
      <c r="C679" t="s">
        <v>22</v>
      </c>
      <c r="D679" t="s">
        <v>18</v>
      </c>
      <c r="E679" t="s">
        <v>24</v>
      </c>
      <c r="F679">
        <v>60</v>
      </c>
    </row>
    <row r="680" spans="1:6" x14ac:dyDescent="0.25">
      <c r="A680" t="s">
        <v>1271</v>
      </c>
      <c r="B680" t="s">
        <v>527</v>
      </c>
      <c r="C680" t="s">
        <v>37</v>
      </c>
      <c r="D680" t="s">
        <v>29</v>
      </c>
      <c r="E680" t="s">
        <v>24</v>
      </c>
      <c r="F680">
        <v>18</v>
      </c>
    </row>
    <row r="681" spans="1:6" x14ac:dyDescent="0.25">
      <c r="A681" t="s">
        <v>1272</v>
      </c>
      <c r="B681" t="s">
        <v>504</v>
      </c>
      <c r="C681" t="s">
        <v>32</v>
      </c>
      <c r="D681" t="s">
        <v>23</v>
      </c>
      <c r="E681" t="s">
        <v>24</v>
      </c>
      <c r="F681">
        <v>53</v>
      </c>
    </row>
    <row r="682" spans="1:6" x14ac:dyDescent="0.25">
      <c r="A682" t="s">
        <v>1273</v>
      </c>
      <c r="B682" t="s">
        <v>1274</v>
      </c>
      <c r="C682" t="s">
        <v>32</v>
      </c>
      <c r="D682" t="s">
        <v>18</v>
      </c>
      <c r="E682" t="s">
        <v>24</v>
      </c>
      <c r="F682">
        <v>43</v>
      </c>
    </row>
    <row r="683" spans="1:6" x14ac:dyDescent="0.25">
      <c r="A683" t="s">
        <v>1275</v>
      </c>
      <c r="B683" t="s">
        <v>1276</v>
      </c>
      <c r="C683" t="s">
        <v>37</v>
      </c>
      <c r="D683" t="s">
        <v>18</v>
      </c>
      <c r="E683" t="s">
        <v>19</v>
      </c>
      <c r="F683">
        <v>46</v>
      </c>
    </row>
    <row r="684" spans="1:6" x14ac:dyDescent="0.25">
      <c r="A684" t="s">
        <v>1277</v>
      </c>
      <c r="B684" t="s">
        <v>545</v>
      </c>
      <c r="C684" t="s">
        <v>32</v>
      </c>
      <c r="D684" t="s">
        <v>23</v>
      </c>
      <c r="E684" t="s">
        <v>19</v>
      </c>
      <c r="F684">
        <v>38</v>
      </c>
    </row>
    <row r="685" spans="1:6" x14ac:dyDescent="0.25">
      <c r="A685" t="s">
        <v>1278</v>
      </c>
      <c r="B685" t="s">
        <v>1279</v>
      </c>
      <c r="C685" t="s">
        <v>22</v>
      </c>
      <c r="D685" t="s">
        <v>29</v>
      </c>
      <c r="E685" t="s">
        <v>24</v>
      </c>
      <c r="F685">
        <v>28</v>
      </c>
    </row>
    <row r="686" spans="1:6" x14ac:dyDescent="0.25">
      <c r="A686" t="s">
        <v>1280</v>
      </c>
      <c r="B686" t="s">
        <v>1281</v>
      </c>
      <c r="C686" t="s">
        <v>17</v>
      </c>
      <c r="D686" t="s">
        <v>23</v>
      </c>
      <c r="E686" t="s">
        <v>19</v>
      </c>
      <c r="F686">
        <v>57</v>
      </c>
    </row>
    <row r="687" spans="1:6" x14ac:dyDescent="0.25">
      <c r="A687" t="s">
        <v>1282</v>
      </c>
      <c r="B687" t="s">
        <v>1084</v>
      </c>
      <c r="C687" t="s">
        <v>17</v>
      </c>
      <c r="D687" t="s">
        <v>29</v>
      </c>
      <c r="E687" t="s">
        <v>24</v>
      </c>
      <c r="F687">
        <v>28</v>
      </c>
    </row>
    <row r="688" spans="1:6" x14ac:dyDescent="0.25">
      <c r="A688" t="s">
        <v>1283</v>
      </c>
      <c r="B688" t="s">
        <v>1284</v>
      </c>
      <c r="C688" t="s">
        <v>22</v>
      </c>
      <c r="D688" t="s">
        <v>23</v>
      </c>
      <c r="E688" t="s">
        <v>24</v>
      </c>
      <c r="F688">
        <v>53</v>
      </c>
    </row>
    <row r="689" spans="1:6" x14ac:dyDescent="0.25">
      <c r="A689" t="s">
        <v>1285</v>
      </c>
      <c r="B689" t="s">
        <v>1286</v>
      </c>
      <c r="C689" t="s">
        <v>22</v>
      </c>
      <c r="D689" t="s">
        <v>29</v>
      </c>
      <c r="E689" t="s">
        <v>19</v>
      </c>
      <c r="F689">
        <v>56</v>
      </c>
    </row>
    <row r="690" spans="1:6" x14ac:dyDescent="0.25">
      <c r="A690" t="s">
        <v>1287</v>
      </c>
      <c r="B690" t="s">
        <v>1288</v>
      </c>
      <c r="C690" t="s">
        <v>32</v>
      </c>
      <c r="D690" t="s">
        <v>23</v>
      </c>
      <c r="E690" t="s">
        <v>19</v>
      </c>
      <c r="F690">
        <v>57</v>
      </c>
    </row>
    <row r="691" spans="1:6" x14ac:dyDescent="0.25">
      <c r="A691" t="s">
        <v>1289</v>
      </c>
      <c r="B691" t="s">
        <v>1290</v>
      </c>
      <c r="C691" t="s">
        <v>22</v>
      </c>
      <c r="D691" t="s">
        <v>29</v>
      </c>
      <c r="E691" t="s">
        <v>24</v>
      </c>
      <c r="F691">
        <v>52</v>
      </c>
    </row>
    <row r="692" spans="1:6" x14ac:dyDescent="0.25">
      <c r="A692" t="s">
        <v>1291</v>
      </c>
      <c r="B692" t="s">
        <v>1292</v>
      </c>
      <c r="C692" t="s">
        <v>37</v>
      </c>
      <c r="D692" t="s">
        <v>18</v>
      </c>
      <c r="E692" t="s">
        <v>24</v>
      </c>
      <c r="F692">
        <v>51</v>
      </c>
    </row>
    <row r="693" spans="1:6" x14ac:dyDescent="0.25">
      <c r="A693" t="s">
        <v>1293</v>
      </c>
      <c r="B693" t="s">
        <v>1294</v>
      </c>
      <c r="C693" t="s">
        <v>37</v>
      </c>
      <c r="D693" t="s">
        <v>23</v>
      </c>
      <c r="E693" t="s">
        <v>24</v>
      </c>
      <c r="F693">
        <v>64</v>
      </c>
    </row>
    <row r="694" spans="1:6" x14ac:dyDescent="0.25">
      <c r="A694" t="s">
        <v>1295</v>
      </c>
      <c r="B694" t="s">
        <v>1296</v>
      </c>
      <c r="C694" t="s">
        <v>17</v>
      </c>
      <c r="D694" t="s">
        <v>18</v>
      </c>
      <c r="E694" t="s">
        <v>19</v>
      </c>
      <c r="F694">
        <v>41</v>
      </c>
    </row>
    <row r="695" spans="1:6" x14ac:dyDescent="0.25">
      <c r="A695" t="s">
        <v>1297</v>
      </c>
      <c r="B695" t="s">
        <v>987</v>
      </c>
      <c r="C695" t="s">
        <v>32</v>
      </c>
      <c r="D695" t="s">
        <v>18</v>
      </c>
      <c r="E695" t="s">
        <v>24</v>
      </c>
      <c r="F695">
        <v>39</v>
      </c>
    </row>
    <row r="696" spans="1:6" x14ac:dyDescent="0.25">
      <c r="A696" t="s">
        <v>1298</v>
      </c>
      <c r="B696" t="s">
        <v>1299</v>
      </c>
      <c r="C696" t="s">
        <v>32</v>
      </c>
      <c r="D696" t="s">
        <v>18</v>
      </c>
      <c r="E696" t="s">
        <v>24</v>
      </c>
      <c r="F696">
        <v>22</v>
      </c>
    </row>
    <row r="697" spans="1:6" x14ac:dyDescent="0.25">
      <c r="A697" t="s">
        <v>1300</v>
      </c>
      <c r="B697" t="s">
        <v>1301</v>
      </c>
      <c r="C697" t="s">
        <v>32</v>
      </c>
      <c r="D697" t="s">
        <v>23</v>
      </c>
      <c r="E697" t="s">
        <v>24</v>
      </c>
      <c r="F697">
        <v>50</v>
      </c>
    </row>
    <row r="698" spans="1:6" x14ac:dyDescent="0.25">
      <c r="A698" t="s">
        <v>1302</v>
      </c>
      <c r="B698" t="s">
        <v>518</v>
      </c>
      <c r="C698" t="s">
        <v>17</v>
      </c>
      <c r="D698" t="s">
        <v>18</v>
      </c>
      <c r="E698" t="s">
        <v>19</v>
      </c>
      <c r="F698">
        <v>53</v>
      </c>
    </row>
    <row r="699" spans="1:6" x14ac:dyDescent="0.25">
      <c r="A699" t="s">
        <v>1303</v>
      </c>
      <c r="B699" t="s">
        <v>1304</v>
      </c>
      <c r="C699" t="s">
        <v>37</v>
      </c>
      <c r="D699" t="s">
        <v>23</v>
      </c>
      <c r="E699" t="s">
        <v>24</v>
      </c>
      <c r="F699">
        <v>64</v>
      </c>
    </row>
    <row r="700" spans="1:6" x14ac:dyDescent="0.25">
      <c r="A700" t="s">
        <v>1305</v>
      </c>
      <c r="B700" t="s">
        <v>1228</v>
      </c>
      <c r="C700" t="s">
        <v>37</v>
      </c>
      <c r="D700" t="s">
        <v>23</v>
      </c>
      <c r="E700" t="s">
        <v>24</v>
      </c>
      <c r="F700">
        <v>37</v>
      </c>
    </row>
    <row r="701" spans="1:6" x14ac:dyDescent="0.25">
      <c r="A701" t="s">
        <v>1306</v>
      </c>
      <c r="B701" t="s">
        <v>1307</v>
      </c>
      <c r="C701" t="s">
        <v>32</v>
      </c>
      <c r="D701" t="s">
        <v>18</v>
      </c>
      <c r="E701" t="s">
        <v>19</v>
      </c>
      <c r="F701">
        <v>36</v>
      </c>
    </row>
    <row r="702" spans="1:6" x14ac:dyDescent="0.25">
      <c r="A702" t="s">
        <v>1308</v>
      </c>
      <c r="B702" t="s">
        <v>1309</v>
      </c>
      <c r="C702" t="s">
        <v>37</v>
      </c>
      <c r="D702" t="s">
        <v>29</v>
      </c>
      <c r="E702" t="s">
        <v>24</v>
      </c>
      <c r="F702">
        <v>52</v>
      </c>
    </row>
    <row r="703" spans="1:6" x14ac:dyDescent="0.25">
      <c r="A703" t="s">
        <v>1310</v>
      </c>
      <c r="B703" t="s">
        <v>413</v>
      </c>
      <c r="C703" t="s">
        <v>37</v>
      </c>
      <c r="D703" t="s">
        <v>29</v>
      </c>
      <c r="E703" t="s">
        <v>24</v>
      </c>
      <c r="F703">
        <v>60</v>
      </c>
    </row>
    <row r="704" spans="1:6" x14ac:dyDescent="0.25">
      <c r="A704" t="s">
        <v>1311</v>
      </c>
      <c r="B704" t="s">
        <v>698</v>
      </c>
      <c r="C704" t="s">
        <v>22</v>
      </c>
      <c r="D704" t="s">
        <v>23</v>
      </c>
      <c r="E704" t="s">
        <v>19</v>
      </c>
      <c r="F704">
        <v>34</v>
      </c>
    </row>
    <row r="705" spans="1:6" x14ac:dyDescent="0.25">
      <c r="A705" t="s">
        <v>1312</v>
      </c>
      <c r="B705" t="s">
        <v>1313</v>
      </c>
      <c r="C705" t="s">
        <v>32</v>
      </c>
      <c r="D705" t="s">
        <v>18</v>
      </c>
      <c r="E705" t="s">
        <v>24</v>
      </c>
      <c r="F705">
        <v>62</v>
      </c>
    </row>
    <row r="706" spans="1:6" x14ac:dyDescent="0.25">
      <c r="A706" t="s">
        <v>1314</v>
      </c>
      <c r="B706" t="s">
        <v>1315</v>
      </c>
      <c r="C706" t="s">
        <v>22</v>
      </c>
      <c r="D706" t="s">
        <v>29</v>
      </c>
      <c r="E706" t="s">
        <v>19</v>
      </c>
      <c r="F706">
        <v>60</v>
      </c>
    </row>
    <row r="707" spans="1:6" x14ac:dyDescent="0.25">
      <c r="A707" t="s">
        <v>1316</v>
      </c>
      <c r="B707" t="s">
        <v>1317</v>
      </c>
      <c r="C707" t="s">
        <v>37</v>
      </c>
      <c r="D707" t="s">
        <v>23</v>
      </c>
      <c r="E707" t="s">
        <v>19</v>
      </c>
      <c r="F707">
        <v>51</v>
      </c>
    </row>
    <row r="708" spans="1:6" x14ac:dyDescent="0.25">
      <c r="A708" t="s">
        <v>1318</v>
      </c>
      <c r="B708" t="s">
        <v>490</v>
      </c>
      <c r="C708" t="s">
        <v>17</v>
      </c>
      <c r="D708" t="s">
        <v>18</v>
      </c>
      <c r="E708" t="s">
        <v>24</v>
      </c>
      <c r="F708">
        <v>26</v>
      </c>
    </row>
    <row r="709" spans="1:6" x14ac:dyDescent="0.25">
      <c r="A709" t="s">
        <v>1319</v>
      </c>
      <c r="B709" t="s">
        <v>1320</v>
      </c>
      <c r="C709" t="s">
        <v>22</v>
      </c>
      <c r="D709" t="s">
        <v>23</v>
      </c>
      <c r="E709" t="s">
        <v>24</v>
      </c>
      <c r="F709">
        <v>43</v>
      </c>
    </row>
    <row r="710" spans="1:6" x14ac:dyDescent="0.25">
      <c r="A710" t="s">
        <v>1321</v>
      </c>
      <c r="B710" t="s">
        <v>1322</v>
      </c>
      <c r="C710" t="s">
        <v>37</v>
      </c>
      <c r="D710" t="s">
        <v>23</v>
      </c>
      <c r="E710" t="s">
        <v>24</v>
      </c>
      <c r="F710">
        <v>19</v>
      </c>
    </row>
    <row r="711" spans="1:6" x14ac:dyDescent="0.25">
      <c r="A711" t="s">
        <v>1323</v>
      </c>
      <c r="B711" t="s">
        <v>1138</v>
      </c>
      <c r="C711" t="s">
        <v>22</v>
      </c>
      <c r="D711" t="s">
        <v>29</v>
      </c>
      <c r="E711" t="s">
        <v>24</v>
      </c>
      <c r="F711">
        <v>26</v>
      </c>
    </row>
    <row r="712" spans="1:6" x14ac:dyDescent="0.25">
      <c r="A712" t="s">
        <v>1324</v>
      </c>
      <c r="B712" t="s">
        <v>1325</v>
      </c>
      <c r="C712" t="s">
        <v>37</v>
      </c>
      <c r="D712" t="s">
        <v>18</v>
      </c>
      <c r="E712" t="s">
        <v>19</v>
      </c>
      <c r="F712">
        <v>26</v>
      </c>
    </row>
    <row r="713" spans="1:6" x14ac:dyDescent="0.25">
      <c r="A713" t="s">
        <v>1326</v>
      </c>
      <c r="B713" t="s">
        <v>950</v>
      </c>
      <c r="C713" t="s">
        <v>22</v>
      </c>
      <c r="D713" t="s">
        <v>23</v>
      </c>
      <c r="E713" t="s">
        <v>24</v>
      </c>
      <c r="F713">
        <v>57</v>
      </c>
    </row>
    <row r="714" spans="1:6" x14ac:dyDescent="0.25">
      <c r="A714" t="s">
        <v>1327</v>
      </c>
      <c r="B714" t="s">
        <v>1328</v>
      </c>
      <c r="C714" t="s">
        <v>37</v>
      </c>
      <c r="D714" t="s">
        <v>23</v>
      </c>
      <c r="E714" t="s">
        <v>19</v>
      </c>
      <c r="F714">
        <v>34</v>
      </c>
    </row>
    <row r="715" spans="1:6" x14ac:dyDescent="0.25">
      <c r="A715" t="s">
        <v>1329</v>
      </c>
      <c r="B715" t="s">
        <v>639</v>
      </c>
      <c r="C715" t="s">
        <v>37</v>
      </c>
      <c r="D715" t="s">
        <v>23</v>
      </c>
      <c r="E715" t="s">
        <v>24</v>
      </c>
      <c r="F715">
        <v>18</v>
      </c>
    </row>
    <row r="716" spans="1:6" x14ac:dyDescent="0.25">
      <c r="A716" t="s">
        <v>1330</v>
      </c>
      <c r="B716" t="s">
        <v>135</v>
      </c>
      <c r="C716" t="s">
        <v>22</v>
      </c>
      <c r="D716" t="s">
        <v>18</v>
      </c>
      <c r="E716" t="s">
        <v>24</v>
      </c>
      <c r="F716">
        <v>42</v>
      </c>
    </row>
    <row r="717" spans="1:6" x14ac:dyDescent="0.25">
      <c r="A717" t="s">
        <v>1331</v>
      </c>
      <c r="B717" t="s">
        <v>1332</v>
      </c>
      <c r="C717" t="s">
        <v>32</v>
      </c>
      <c r="D717" t="s">
        <v>23</v>
      </c>
      <c r="E717" t="s">
        <v>24</v>
      </c>
      <c r="F717">
        <v>60</v>
      </c>
    </row>
    <row r="718" spans="1:6" x14ac:dyDescent="0.25">
      <c r="A718" t="s">
        <v>1333</v>
      </c>
      <c r="B718" t="s">
        <v>305</v>
      </c>
      <c r="C718" t="s">
        <v>22</v>
      </c>
      <c r="D718" t="s">
        <v>29</v>
      </c>
      <c r="E718" t="s">
        <v>19</v>
      </c>
      <c r="F718">
        <v>57</v>
      </c>
    </row>
    <row r="719" spans="1:6" x14ac:dyDescent="0.25">
      <c r="A719" t="s">
        <v>1334</v>
      </c>
      <c r="B719" t="s">
        <v>325</v>
      </c>
      <c r="C719" t="s">
        <v>32</v>
      </c>
      <c r="D719" t="s">
        <v>18</v>
      </c>
      <c r="E719" t="s">
        <v>24</v>
      </c>
      <c r="F719">
        <v>59</v>
      </c>
    </row>
    <row r="720" spans="1:6" x14ac:dyDescent="0.25">
      <c r="A720" t="s">
        <v>1335</v>
      </c>
      <c r="B720" t="s">
        <v>145</v>
      </c>
      <c r="C720" t="s">
        <v>32</v>
      </c>
      <c r="D720" t="s">
        <v>23</v>
      </c>
      <c r="E720" t="s">
        <v>24</v>
      </c>
      <c r="F720">
        <v>42</v>
      </c>
    </row>
    <row r="721" spans="1:6" x14ac:dyDescent="0.25">
      <c r="A721" t="s">
        <v>1336</v>
      </c>
      <c r="B721" t="s">
        <v>458</v>
      </c>
      <c r="C721" t="s">
        <v>37</v>
      </c>
      <c r="D721" t="s">
        <v>29</v>
      </c>
      <c r="E721" t="s">
        <v>24</v>
      </c>
      <c r="F721">
        <v>56</v>
      </c>
    </row>
    <row r="722" spans="1:6" x14ac:dyDescent="0.25">
      <c r="A722" t="s">
        <v>1337</v>
      </c>
      <c r="B722" t="s">
        <v>1338</v>
      </c>
      <c r="C722" t="s">
        <v>17</v>
      </c>
      <c r="D722" t="s">
        <v>29</v>
      </c>
      <c r="E722" t="s">
        <v>24</v>
      </c>
      <c r="F722">
        <v>52</v>
      </c>
    </row>
    <row r="723" spans="1:6" x14ac:dyDescent="0.25">
      <c r="A723" t="s">
        <v>1339</v>
      </c>
      <c r="B723" t="s">
        <v>506</v>
      </c>
      <c r="C723" t="s">
        <v>17</v>
      </c>
      <c r="D723" t="s">
        <v>18</v>
      </c>
      <c r="E723" t="s">
        <v>19</v>
      </c>
      <c r="F723">
        <v>20</v>
      </c>
    </row>
    <row r="724" spans="1:6" x14ac:dyDescent="0.25">
      <c r="A724" t="s">
        <v>1340</v>
      </c>
      <c r="B724" t="s">
        <v>1341</v>
      </c>
      <c r="C724" t="s">
        <v>32</v>
      </c>
      <c r="D724" t="s">
        <v>23</v>
      </c>
      <c r="E724" t="s">
        <v>24</v>
      </c>
      <c r="F724">
        <v>54</v>
      </c>
    </row>
    <row r="725" spans="1:6" x14ac:dyDescent="0.25">
      <c r="A725" t="s">
        <v>1342</v>
      </c>
      <c r="B725" t="s">
        <v>1343</v>
      </c>
      <c r="C725" t="s">
        <v>32</v>
      </c>
      <c r="D725" t="s">
        <v>23</v>
      </c>
      <c r="E725" t="s">
        <v>19</v>
      </c>
      <c r="F725">
        <v>61</v>
      </c>
    </row>
    <row r="726" spans="1:6" x14ac:dyDescent="0.25">
      <c r="A726" t="s">
        <v>1344</v>
      </c>
      <c r="B726" t="s">
        <v>1345</v>
      </c>
      <c r="C726" t="s">
        <v>22</v>
      </c>
      <c r="D726" t="s">
        <v>23</v>
      </c>
      <c r="E726" t="s">
        <v>19</v>
      </c>
      <c r="F726">
        <v>61</v>
      </c>
    </row>
    <row r="727" spans="1:6" x14ac:dyDescent="0.25">
      <c r="A727" t="s">
        <v>1346</v>
      </c>
      <c r="B727" t="s">
        <v>576</v>
      </c>
      <c r="C727" t="s">
        <v>17</v>
      </c>
      <c r="D727" t="s">
        <v>29</v>
      </c>
      <c r="E727" t="s">
        <v>19</v>
      </c>
      <c r="F727">
        <v>47</v>
      </c>
    </row>
    <row r="728" spans="1:6" x14ac:dyDescent="0.25">
      <c r="A728" t="s">
        <v>1347</v>
      </c>
      <c r="B728" t="s">
        <v>1348</v>
      </c>
      <c r="C728" t="s">
        <v>22</v>
      </c>
      <c r="D728" t="s">
        <v>29</v>
      </c>
      <c r="E728" t="s">
        <v>19</v>
      </c>
      <c r="F728">
        <v>55</v>
      </c>
    </row>
    <row r="729" spans="1:6" x14ac:dyDescent="0.25">
      <c r="A729" t="s">
        <v>1349</v>
      </c>
      <c r="B729" t="s">
        <v>1350</v>
      </c>
      <c r="C729" t="s">
        <v>37</v>
      </c>
      <c r="D729" t="s">
        <v>23</v>
      </c>
      <c r="E729" t="s">
        <v>19</v>
      </c>
      <c r="F729">
        <v>51</v>
      </c>
    </row>
    <row r="730" spans="1:6" x14ac:dyDescent="0.25">
      <c r="A730" t="s">
        <v>1351</v>
      </c>
      <c r="B730" t="s">
        <v>1352</v>
      </c>
      <c r="C730" t="s">
        <v>17</v>
      </c>
      <c r="D730" t="s">
        <v>23</v>
      </c>
      <c r="E730" t="s">
        <v>19</v>
      </c>
      <c r="F730">
        <v>29</v>
      </c>
    </row>
    <row r="731" spans="1:6" x14ac:dyDescent="0.25">
      <c r="A731" t="s">
        <v>1353</v>
      </c>
      <c r="B731" t="s">
        <v>1354</v>
      </c>
      <c r="C731" t="s">
        <v>22</v>
      </c>
      <c r="D731" t="s">
        <v>18</v>
      </c>
      <c r="E731" t="s">
        <v>24</v>
      </c>
      <c r="F731">
        <v>36</v>
      </c>
    </row>
    <row r="732" spans="1:6" x14ac:dyDescent="0.25">
      <c r="A732" t="s">
        <v>1355</v>
      </c>
      <c r="B732" t="s">
        <v>158</v>
      </c>
      <c r="C732" t="s">
        <v>37</v>
      </c>
      <c r="D732" t="s">
        <v>23</v>
      </c>
      <c r="E732" t="s">
        <v>19</v>
      </c>
      <c r="F732">
        <v>54</v>
      </c>
    </row>
    <row r="733" spans="1:6" x14ac:dyDescent="0.25">
      <c r="A733" t="s">
        <v>1356</v>
      </c>
      <c r="B733" t="s">
        <v>981</v>
      </c>
      <c r="C733" t="s">
        <v>17</v>
      </c>
      <c r="D733" t="s">
        <v>23</v>
      </c>
      <c r="E733" t="s">
        <v>19</v>
      </c>
      <c r="F733">
        <v>61</v>
      </c>
    </row>
    <row r="734" spans="1:6" x14ac:dyDescent="0.25">
      <c r="A734" t="s">
        <v>1357</v>
      </c>
      <c r="B734" t="s">
        <v>470</v>
      </c>
      <c r="C734" t="s">
        <v>32</v>
      </c>
      <c r="D734" t="s">
        <v>29</v>
      </c>
      <c r="E734" t="s">
        <v>19</v>
      </c>
      <c r="F734">
        <v>34</v>
      </c>
    </row>
    <row r="735" spans="1:6" x14ac:dyDescent="0.25">
      <c r="A735" t="s">
        <v>1358</v>
      </c>
      <c r="B735" t="s">
        <v>1359</v>
      </c>
      <c r="C735" t="s">
        <v>17</v>
      </c>
      <c r="D735" t="s">
        <v>23</v>
      </c>
      <c r="E735" t="s">
        <v>24</v>
      </c>
      <c r="F735">
        <v>27</v>
      </c>
    </row>
    <row r="736" spans="1:6" x14ac:dyDescent="0.25">
      <c r="A736" t="s">
        <v>1360</v>
      </c>
      <c r="B736" t="s">
        <v>1361</v>
      </c>
      <c r="C736" t="s">
        <v>37</v>
      </c>
      <c r="D736" t="s">
        <v>23</v>
      </c>
      <c r="E736" t="s">
        <v>24</v>
      </c>
      <c r="F736">
        <v>64</v>
      </c>
    </row>
    <row r="737" spans="1:6" x14ac:dyDescent="0.25">
      <c r="A737" t="s">
        <v>1362</v>
      </c>
      <c r="B737" t="s">
        <v>1363</v>
      </c>
      <c r="C737" t="s">
        <v>32</v>
      </c>
      <c r="D737" t="s">
        <v>23</v>
      </c>
      <c r="E737" t="s">
        <v>19</v>
      </c>
      <c r="F737">
        <v>29</v>
      </c>
    </row>
    <row r="738" spans="1:6" x14ac:dyDescent="0.25">
      <c r="A738" t="s">
        <v>1364</v>
      </c>
      <c r="B738" t="s">
        <v>850</v>
      </c>
      <c r="C738" t="s">
        <v>37</v>
      </c>
      <c r="D738" t="s">
        <v>23</v>
      </c>
      <c r="E738" t="s">
        <v>24</v>
      </c>
      <c r="F738">
        <v>33</v>
      </c>
    </row>
    <row r="739" spans="1:6" x14ac:dyDescent="0.25">
      <c r="A739" t="s">
        <v>1365</v>
      </c>
      <c r="B739" t="s">
        <v>353</v>
      </c>
      <c r="C739" t="s">
        <v>17</v>
      </c>
      <c r="D739" t="s">
        <v>29</v>
      </c>
      <c r="E739" t="s">
        <v>19</v>
      </c>
      <c r="F739">
        <v>41</v>
      </c>
    </row>
    <row r="740" spans="1:6" x14ac:dyDescent="0.25">
      <c r="A740" t="s">
        <v>1366</v>
      </c>
      <c r="B740" t="s">
        <v>1367</v>
      </c>
      <c r="C740" t="s">
        <v>32</v>
      </c>
      <c r="D740" t="s">
        <v>29</v>
      </c>
      <c r="E740" t="s">
        <v>19</v>
      </c>
      <c r="F740">
        <v>36</v>
      </c>
    </row>
    <row r="741" spans="1:6" x14ac:dyDescent="0.25">
      <c r="A741" t="s">
        <v>1368</v>
      </c>
      <c r="B741" t="s">
        <v>1369</v>
      </c>
      <c r="C741" t="s">
        <v>32</v>
      </c>
      <c r="D741" t="s">
        <v>29</v>
      </c>
      <c r="E741" t="s">
        <v>24</v>
      </c>
      <c r="F741">
        <v>25</v>
      </c>
    </row>
    <row r="742" spans="1:6" x14ac:dyDescent="0.25">
      <c r="A742" t="s">
        <v>1370</v>
      </c>
      <c r="B742" t="s">
        <v>1371</v>
      </c>
      <c r="C742" t="s">
        <v>17</v>
      </c>
      <c r="D742" t="s">
        <v>23</v>
      </c>
      <c r="E742" t="s">
        <v>19</v>
      </c>
      <c r="F742">
        <v>48</v>
      </c>
    </row>
    <row r="743" spans="1:6" x14ac:dyDescent="0.25">
      <c r="A743" t="s">
        <v>1372</v>
      </c>
      <c r="B743" t="s">
        <v>1373</v>
      </c>
      <c r="C743" t="s">
        <v>17</v>
      </c>
      <c r="D743" t="s">
        <v>18</v>
      </c>
      <c r="E743" t="s">
        <v>24</v>
      </c>
      <c r="F743">
        <v>38</v>
      </c>
    </row>
    <row r="744" spans="1:6" x14ac:dyDescent="0.25">
      <c r="A744" t="s">
        <v>1374</v>
      </c>
      <c r="B744" t="s">
        <v>1231</v>
      </c>
      <c r="C744" t="s">
        <v>17</v>
      </c>
      <c r="D744" t="s">
        <v>23</v>
      </c>
      <c r="E744" t="s">
        <v>24</v>
      </c>
      <c r="F744">
        <v>34</v>
      </c>
    </row>
    <row r="745" spans="1:6" x14ac:dyDescent="0.25">
      <c r="A745" t="s">
        <v>1375</v>
      </c>
      <c r="B745" t="s">
        <v>1376</v>
      </c>
      <c r="C745" t="s">
        <v>37</v>
      </c>
      <c r="D745" t="s">
        <v>29</v>
      </c>
      <c r="E745" t="s">
        <v>19</v>
      </c>
      <c r="F745">
        <v>40</v>
      </c>
    </row>
    <row r="746" spans="1:6" x14ac:dyDescent="0.25">
      <c r="A746" t="s">
        <v>1377</v>
      </c>
      <c r="B746" t="s">
        <v>381</v>
      </c>
      <c r="C746" t="s">
        <v>32</v>
      </c>
      <c r="D746" t="s">
        <v>23</v>
      </c>
      <c r="E746" t="s">
        <v>19</v>
      </c>
      <c r="F746">
        <v>54</v>
      </c>
    </row>
    <row r="747" spans="1:6" x14ac:dyDescent="0.25">
      <c r="A747" t="s">
        <v>1378</v>
      </c>
      <c r="B747" t="s">
        <v>299</v>
      </c>
      <c r="C747" t="s">
        <v>32</v>
      </c>
      <c r="D747" t="s">
        <v>29</v>
      </c>
      <c r="E747" t="s">
        <v>24</v>
      </c>
      <c r="F747">
        <v>33</v>
      </c>
    </row>
    <row r="748" spans="1:6" x14ac:dyDescent="0.25">
      <c r="A748" t="s">
        <v>1379</v>
      </c>
      <c r="B748" t="s">
        <v>1380</v>
      </c>
      <c r="C748" t="s">
        <v>32</v>
      </c>
      <c r="D748" t="s">
        <v>23</v>
      </c>
      <c r="E748" t="s">
        <v>19</v>
      </c>
      <c r="F748">
        <v>23</v>
      </c>
    </row>
    <row r="749" spans="1:6" x14ac:dyDescent="0.25">
      <c r="A749" t="s">
        <v>1381</v>
      </c>
      <c r="B749" t="s">
        <v>1382</v>
      </c>
      <c r="C749" t="s">
        <v>32</v>
      </c>
      <c r="D749" t="s">
        <v>23</v>
      </c>
      <c r="E749" t="s">
        <v>19</v>
      </c>
      <c r="F749">
        <v>25</v>
      </c>
    </row>
    <row r="750" spans="1:6" x14ac:dyDescent="0.25">
      <c r="A750" t="s">
        <v>1383</v>
      </c>
      <c r="B750" t="s">
        <v>893</v>
      </c>
      <c r="C750" t="s">
        <v>22</v>
      </c>
      <c r="D750" t="s">
        <v>23</v>
      </c>
      <c r="E750" t="s">
        <v>19</v>
      </c>
      <c r="F750">
        <v>42</v>
      </c>
    </row>
    <row r="751" spans="1:6" x14ac:dyDescent="0.25">
      <c r="A751" t="s">
        <v>1384</v>
      </c>
      <c r="B751" t="s">
        <v>1385</v>
      </c>
      <c r="C751" t="s">
        <v>22</v>
      </c>
      <c r="D751" t="s">
        <v>23</v>
      </c>
      <c r="E751" t="s">
        <v>24</v>
      </c>
      <c r="F751">
        <v>35</v>
      </c>
    </row>
    <row r="752" spans="1:6" x14ac:dyDescent="0.25">
      <c r="A752" t="s">
        <v>1386</v>
      </c>
      <c r="B752" t="s">
        <v>1387</v>
      </c>
      <c r="C752" t="s">
        <v>32</v>
      </c>
      <c r="D752" t="s">
        <v>23</v>
      </c>
      <c r="E752" t="s">
        <v>24</v>
      </c>
      <c r="F752">
        <v>42</v>
      </c>
    </row>
    <row r="753" spans="1:6" x14ac:dyDescent="0.25">
      <c r="A753" t="s">
        <v>1388</v>
      </c>
      <c r="B753" t="s">
        <v>210</v>
      </c>
      <c r="C753" t="s">
        <v>17</v>
      </c>
      <c r="D753" t="s">
        <v>29</v>
      </c>
      <c r="E753" t="s">
        <v>19</v>
      </c>
      <c r="F753">
        <v>29</v>
      </c>
    </row>
    <row r="754" spans="1:6" x14ac:dyDescent="0.25">
      <c r="A754" t="s">
        <v>1389</v>
      </c>
      <c r="B754" t="s">
        <v>1390</v>
      </c>
      <c r="C754" t="s">
        <v>37</v>
      </c>
      <c r="D754" t="s">
        <v>18</v>
      </c>
      <c r="E754" t="s">
        <v>24</v>
      </c>
      <c r="F754">
        <v>32</v>
      </c>
    </row>
    <row r="755" spans="1:6" x14ac:dyDescent="0.25">
      <c r="A755" t="s">
        <v>1391</v>
      </c>
      <c r="B755" t="s">
        <v>1392</v>
      </c>
      <c r="C755" t="s">
        <v>37</v>
      </c>
      <c r="D755" t="s">
        <v>23</v>
      </c>
      <c r="E755" t="s">
        <v>24</v>
      </c>
      <c r="F755">
        <v>43</v>
      </c>
    </row>
    <row r="756" spans="1:6" x14ac:dyDescent="0.25">
      <c r="A756" t="s">
        <v>1393</v>
      </c>
      <c r="B756" t="s">
        <v>1394</v>
      </c>
      <c r="C756" t="s">
        <v>22</v>
      </c>
      <c r="D756" t="s">
        <v>18</v>
      </c>
      <c r="E756" t="s">
        <v>24</v>
      </c>
      <c r="F756">
        <v>58</v>
      </c>
    </row>
    <row r="757" spans="1:6" x14ac:dyDescent="0.25">
      <c r="A757" t="s">
        <v>1395</v>
      </c>
      <c r="B757" t="s">
        <v>101</v>
      </c>
      <c r="C757" t="s">
        <v>32</v>
      </c>
      <c r="D757" t="s">
        <v>29</v>
      </c>
      <c r="E757" t="s">
        <v>24</v>
      </c>
      <c r="F757">
        <v>62</v>
      </c>
    </row>
    <row r="758" spans="1:6" x14ac:dyDescent="0.25">
      <c r="A758" t="s">
        <v>1396</v>
      </c>
      <c r="B758" t="s">
        <v>1397</v>
      </c>
      <c r="C758" t="s">
        <v>17</v>
      </c>
      <c r="D758" t="s">
        <v>18</v>
      </c>
      <c r="E758" t="s">
        <v>24</v>
      </c>
      <c r="F758">
        <v>43</v>
      </c>
    </row>
    <row r="759" spans="1:6" x14ac:dyDescent="0.25">
      <c r="A759" t="s">
        <v>1398</v>
      </c>
      <c r="B759" t="s">
        <v>900</v>
      </c>
      <c r="C759" t="s">
        <v>37</v>
      </c>
      <c r="D759" t="s">
        <v>29</v>
      </c>
      <c r="E759" t="s">
        <v>19</v>
      </c>
      <c r="F759">
        <v>64</v>
      </c>
    </row>
    <row r="760" spans="1:6" x14ac:dyDescent="0.25">
      <c r="A760" t="s">
        <v>1399</v>
      </c>
      <c r="B760" t="s">
        <v>79</v>
      </c>
      <c r="C760" t="s">
        <v>37</v>
      </c>
      <c r="D760" t="s">
        <v>29</v>
      </c>
      <c r="E760" t="s">
        <v>19</v>
      </c>
      <c r="F760">
        <v>49</v>
      </c>
    </row>
    <row r="761" spans="1:6" x14ac:dyDescent="0.25">
      <c r="A761" t="s">
        <v>1400</v>
      </c>
      <c r="B761" t="s">
        <v>1401</v>
      </c>
      <c r="C761" t="s">
        <v>37</v>
      </c>
      <c r="D761" t="s">
        <v>29</v>
      </c>
      <c r="E761" t="s">
        <v>19</v>
      </c>
      <c r="F761">
        <v>27</v>
      </c>
    </row>
    <row r="762" spans="1:6" x14ac:dyDescent="0.25">
      <c r="A762" t="s">
        <v>1402</v>
      </c>
      <c r="B762" t="s">
        <v>1403</v>
      </c>
      <c r="C762" t="s">
        <v>22</v>
      </c>
      <c r="D762" t="s">
        <v>29</v>
      </c>
      <c r="E762" t="s">
        <v>24</v>
      </c>
      <c r="F762">
        <v>33</v>
      </c>
    </row>
    <row r="763" spans="1:6" x14ac:dyDescent="0.25">
      <c r="A763" t="s">
        <v>1404</v>
      </c>
      <c r="B763" t="s">
        <v>365</v>
      </c>
      <c r="C763" t="s">
        <v>17</v>
      </c>
      <c r="D763" t="s">
        <v>18</v>
      </c>
      <c r="E763" t="s">
        <v>24</v>
      </c>
      <c r="F763">
        <v>24</v>
      </c>
    </row>
    <row r="764" spans="1:6" x14ac:dyDescent="0.25">
      <c r="A764" t="s">
        <v>1405</v>
      </c>
      <c r="B764" t="s">
        <v>160</v>
      </c>
      <c r="C764" t="s">
        <v>17</v>
      </c>
      <c r="D764" t="s">
        <v>23</v>
      </c>
      <c r="E764" t="s">
        <v>19</v>
      </c>
      <c r="F764">
        <v>34</v>
      </c>
    </row>
    <row r="765" spans="1:6" x14ac:dyDescent="0.25">
      <c r="A765" t="s">
        <v>1406</v>
      </c>
      <c r="B765" t="s">
        <v>1407</v>
      </c>
      <c r="C765" t="s">
        <v>17</v>
      </c>
      <c r="D765" t="s">
        <v>23</v>
      </c>
      <c r="E765" t="s">
        <v>24</v>
      </c>
      <c r="F765">
        <v>40</v>
      </c>
    </row>
    <row r="766" spans="1:6" x14ac:dyDescent="0.25">
      <c r="A766" t="s">
        <v>1408</v>
      </c>
      <c r="B766" t="s">
        <v>1409</v>
      </c>
      <c r="C766" t="s">
        <v>17</v>
      </c>
      <c r="D766" t="s">
        <v>23</v>
      </c>
      <c r="E766" t="s">
        <v>19</v>
      </c>
      <c r="F766">
        <v>43</v>
      </c>
    </row>
    <row r="767" spans="1:6" x14ac:dyDescent="0.25">
      <c r="A767" t="s">
        <v>1410</v>
      </c>
      <c r="B767" t="s">
        <v>1411</v>
      </c>
      <c r="C767" t="s">
        <v>17</v>
      </c>
      <c r="D767" t="s">
        <v>18</v>
      </c>
      <c r="E767" t="s">
        <v>19</v>
      </c>
      <c r="F767">
        <v>38</v>
      </c>
    </row>
    <row r="768" spans="1:6" x14ac:dyDescent="0.25">
      <c r="A768" t="s">
        <v>1412</v>
      </c>
      <c r="B768" t="s">
        <v>1413</v>
      </c>
      <c r="C768" t="s">
        <v>37</v>
      </c>
      <c r="D768" t="s">
        <v>23</v>
      </c>
      <c r="E768" t="s">
        <v>19</v>
      </c>
      <c r="F768">
        <v>39</v>
      </c>
    </row>
    <row r="769" spans="1:6" x14ac:dyDescent="0.25">
      <c r="A769" t="s">
        <v>1414</v>
      </c>
      <c r="B769" t="s">
        <v>1415</v>
      </c>
      <c r="C769" t="s">
        <v>17</v>
      </c>
      <c r="D769" t="s">
        <v>29</v>
      </c>
      <c r="E769" t="s">
        <v>24</v>
      </c>
      <c r="F769">
        <v>24</v>
      </c>
    </row>
    <row r="770" spans="1:6" x14ac:dyDescent="0.25">
      <c r="A770" t="s">
        <v>1416</v>
      </c>
      <c r="B770" t="s">
        <v>1417</v>
      </c>
      <c r="C770" t="s">
        <v>17</v>
      </c>
      <c r="D770" t="s">
        <v>18</v>
      </c>
      <c r="E770" t="s">
        <v>24</v>
      </c>
      <c r="F770">
        <v>31</v>
      </c>
    </row>
    <row r="771" spans="1:6" x14ac:dyDescent="0.25">
      <c r="A771" t="s">
        <v>1418</v>
      </c>
      <c r="B771" t="s">
        <v>1419</v>
      </c>
      <c r="C771" t="s">
        <v>37</v>
      </c>
      <c r="D771" t="s">
        <v>18</v>
      </c>
      <c r="E771" t="s">
        <v>19</v>
      </c>
      <c r="F771">
        <v>32</v>
      </c>
    </row>
    <row r="772" spans="1:6" x14ac:dyDescent="0.25">
      <c r="A772" t="s">
        <v>1420</v>
      </c>
      <c r="B772" t="s">
        <v>492</v>
      </c>
      <c r="C772" t="s">
        <v>32</v>
      </c>
      <c r="D772" t="s">
        <v>23</v>
      </c>
      <c r="E772" t="s">
        <v>19</v>
      </c>
      <c r="F772">
        <v>24</v>
      </c>
    </row>
    <row r="773" spans="1:6" x14ac:dyDescent="0.25">
      <c r="A773" t="s">
        <v>1421</v>
      </c>
      <c r="B773" t="s">
        <v>57</v>
      </c>
      <c r="C773" t="s">
        <v>32</v>
      </c>
      <c r="D773" t="s">
        <v>29</v>
      </c>
      <c r="E773" t="s">
        <v>19</v>
      </c>
      <c r="F773">
        <v>26</v>
      </c>
    </row>
    <row r="774" spans="1:6" x14ac:dyDescent="0.25">
      <c r="A774" t="s">
        <v>1422</v>
      </c>
      <c r="B774" t="s">
        <v>712</v>
      </c>
      <c r="C774" t="s">
        <v>32</v>
      </c>
      <c r="D774" t="s">
        <v>18</v>
      </c>
      <c r="E774" t="s">
        <v>19</v>
      </c>
      <c r="F774">
        <v>25</v>
      </c>
    </row>
    <row r="775" spans="1:6" x14ac:dyDescent="0.25">
      <c r="A775" t="s">
        <v>1423</v>
      </c>
      <c r="B775" t="s">
        <v>1424</v>
      </c>
      <c r="C775" t="s">
        <v>37</v>
      </c>
      <c r="D775" t="s">
        <v>23</v>
      </c>
      <c r="E775" t="s">
        <v>24</v>
      </c>
      <c r="F775">
        <v>40</v>
      </c>
    </row>
    <row r="776" spans="1:6" x14ac:dyDescent="0.25">
      <c r="A776" t="s">
        <v>1425</v>
      </c>
      <c r="B776" t="s">
        <v>464</v>
      </c>
      <c r="C776" t="s">
        <v>32</v>
      </c>
      <c r="D776" t="s">
        <v>29</v>
      </c>
      <c r="E776" t="s">
        <v>24</v>
      </c>
      <c r="F776">
        <v>46</v>
      </c>
    </row>
    <row r="777" spans="1:6" x14ac:dyDescent="0.25">
      <c r="A777" t="s">
        <v>1426</v>
      </c>
      <c r="B777" t="s">
        <v>1427</v>
      </c>
      <c r="C777" t="s">
        <v>32</v>
      </c>
      <c r="D777" t="s">
        <v>23</v>
      </c>
      <c r="E777" t="s">
        <v>19</v>
      </c>
      <c r="F777">
        <v>35</v>
      </c>
    </row>
    <row r="778" spans="1:6" x14ac:dyDescent="0.25">
      <c r="A778" t="s">
        <v>1428</v>
      </c>
      <c r="B778" t="s">
        <v>696</v>
      </c>
      <c r="C778" t="s">
        <v>32</v>
      </c>
      <c r="D778" t="s">
        <v>29</v>
      </c>
      <c r="E778" t="s">
        <v>19</v>
      </c>
      <c r="F778">
        <v>48</v>
      </c>
    </row>
    <row r="779" spans="1:6" x14ac:dyDescent="0.25">
      <c r="A779" t="s">
        <v>1429</v>
      </c>
      <c r="B779" t="s">
        <v>862</v>
      </c>
      <c r="C779" t="s">
        <v>22</v>
      </c>
      <c r="D779" t="s">
        <v>29</v>
      </c>
      <c r="E779" t="s">
        <v>24</v>
      </c>
      <c r="F779">
        <v>47</v>
      </c>
    </row>
    <row r="780" spans="1:6" x14ac:dyDescent="0.25">
      <c r="A780" t="s">
        <v>1430</v>
      </c>
      <c r="B780" t="s">
        <v>1431</v>
      </c>
      <c r="C780" t="s">
        <v>22</v>
      </c>
      <c r="D780" t="s">
        <v>23</v>
      </c>
      <c r="E780" t="s">
        <v>24</v>
      </c>
      <c r="F780">
        <v>56</v>
      </c>
    </row>
    <row r="781" spans="1:6" x14ac:dyDescent="0.25">
      <c r="A781" t="s">
        <v>1432</v>
      </c>
      <c r="B781" t="s">
        <v>168</v>
      </c>
      <c r="C781" t="s">
        <v>22</v>
      </c>
      <c r="D781" t="s">
        <v>23</v>
      </c>
      <c r="E781" t="s">
        <v>19</v>
      </c>
      <c r="F781">
        <v>52</v>
      </c>
    </row>
    <row r="782" spans="1:6" x14ac:dyDescent="0.25">
      <c r="A782" t="s">
        <v>1433</v>
      </c>
      <c r="B782" t="s">
        <v>1434</v>
      </c>
      <c r="C782" t="s">
        <v>17</v>
      </c>
      <c r="D782" t="s">
        <v>23</v>
      </c>
      <c r="E782" t="s">
        <v>19</v>
      </c>
      <c r="F782">
        <v>35</v>
      </c>
    </row>
    <row r="783" spans="1:6" x14ac:dyDescent="0.25">
      <c r="A783" t="s">
        <v>1435</v>
      </c>
      <c r="B783" t="s">
        <v>1055</v>
      </c>
      <c r="C783" t="s">
        <v>37</v>
      </c>
      <c r="D783" t="s">
        <v>23</v>
      </c>
      <c r="E783" t="s">
        <v>19</v>
      </c>
      <c r="F783">
        <v>59</v>
      </c>
    </row>
    <row r="784" spans="1:6" x14ac:dyDescent="0.25">
      <c r="A784" t="s">
        <v>1436</v>
      </c>
      <c r="B784" t="s">
        <v>137</v>
      </c>
      <c r="C784" t="s">
        <v>17</v>
      </c>
      <c r="D784" t="s">
        <v>29</v>
      </c>
      <c r="E784" t="s">
        <v>24</v>
      </c>
      <c r="F784">
        <v>56</v>
      </c>
    </row>
    <row r="785" spans="1:6" x14ac:dyDescent="0.25">
      <c r="A785" t="s">
        <v>1437</v>
      </c>
      <c r="B785" t="s">
        <v>1438</v>
      </c>
      <c r="C785" t="s">
        <v>17</v>
      </c>
      <c r="D785" t="s">
        <v>23</v>
      </c>
      <c r="E785" t="s">
        <v>24</v>
      </c>
      <c r="F785">
        <v>34</v>
      </c>
    </row>
    <row r="786" spans="1:6" x14ac:dyDescent="0.25">
      <c r="A786" t="s">
        <v>1439</v>
      </c>
      <c r="B786" t="s">
        <v>1440</v>
      </c>
      <c r="C786" t="s">
        <v>17</v>
      </c>
      <c r="D786" t="s">
        <v>23</v>
      </c>
      <c r="E786" t="s">
        <v>24</v>
      </c>
      <c r="F786">
        <v>31</v>
      </c>
    </row>
    <row r="787" spans="1:6" x14ac:dyDescent="0.25">
      <c r="A787" t="s">
        <v>1441</v>
      </c>
      <c r="B787" t="s">
        <v>1442</v>
      </c>
      <c r="C787" t="s">
        <v>37</v>
      </c>
      <c r="D787" t="s">
        <v>29</v>
      </c>
      <c r="E787" t="s">
        <v>19</v>
      </c>
      <c r="F787">
        <v>48</v>
      </c>
    </row>
    <row r="788" spans="1:6" x14ac:dyDescent="0.25">
      <c r="A788" t="s">
        <v>1443</v>
      </c>
      <c r="B788" t="s">
        <v>479</v>
      </c>
      <c r="C788" t="s">
        <v>22</v>
      </c>
      <c r="D788" t="s">
        <v>29</v>
      </c>
      <c r="E788" t="s">
        <v>19</v>
      </c>
      <c r="F788">
        <v>41</v>
      </c>
    </row>
    <row r="789" spans="1:6" x14ac:dyDescent="0.25">
      <c r="A789" t="s">
        <v>1444</v>
      </c>
      <c r="B789" t="s">
        <v>1445</v>
      </c>
      <c r="C789" t="s">
        <v>32</v>
      </c>
      <c r="D789" t="s">
        <v>29</v>
      </c>
      <c r="E789" t="s">
        <v>24</v>
      </c>
      <c r="F789">
        <v>52</v>
      </c>
    </row>
    <row r="790" spans="1:6" x14ac:dyDescent="0.25">
      <c r="A790" t="s">
        <v>1446</v>
      </c>
      <c r="B790" t="s">
        <v>893</v>
      </c>
      <c r="C790" t="s">
        <v>37</v>
      </c>
      <c r="D790" t="s">
        <v>18</v>
      </c>
      <c r="E790" t="s">
        <v>24</v>
      </c>
      <c r="F790">
        <v>61</v>
      </c>
    </row>
    <row r="791" spans="1:6" x14ac:dyDescent="0.25">
      <c r="A791" t="s">
        <v>1447</v>
      </c>
      <c r="B791" t="s">
        <v>1215</v>
      </c>
      <c r="C791" t="s">
        <v>17</v>
      </c>
      <c r="D791" t="s">
        <v>23</v>
      </c>
      <c r="E791" t="s">
        <v>19</v>
      </c>
      <c r="F791">
        <v>62</v>
      </c>
    </row>
    <row r="792" spans="1:6" x14ac:dyDescent="0.25">
      <c r="A792" t="s">
        <v>1448</v>
      </c>
      <c r="B792" t="s">
        <v>1449</v>
      </c>
      <c r="C792" t="s">
        <v>32</v>
      </c>
      <c r="D792" t="s">
        <v>18</v>
      </c>
      <c r="E792" t="s">
        <v>24</v>
      </c>
      <c r="F792">
        <v>51</v>
      </c>
    </row>
    <row r="793" spans="1:6" x14ac:dyDescent="0.25">
      <c r="A793" t="s">
        <v>1450</v>
      </c>
      <c r="B793" t="s">
        <v>1451</v>
      </c>
      <c r="C793" t="s">
        <v>22</v>
      </c>
      <c r="D793" t="s">
        <v>23</v>
      </c>
      <c r="E793" t="s">
        <v>24</v>
      </c>
      <c r="F793">
        <v>20</v>
      </c>
    </row>
    <row r="794" spans="1:6" x14ac:dyDescent="0.25">
      <c r="A794" t="s">
        <v>1452</v>
      </c>
      <c r="B794" t="s">
        <v>1453</v>
      </c>
      <c r="C794" t="s">
        <v>17</v>
      </c>
      <c r="D794" t="s">
        <v>29</v>
      </c>
      <c r="E794" t="s">
        <v>19</v>
      </c>
      <c r="F794">
        <v>54</v>
      </c>
    </row>
    <row r="795" spans="1:6" x14ac:dyDescent="0.25">
      <c r="A795" t="s">
        <v>1454</v>
      </c>
      <c r="B795" t="s">
        <v>1455</v>
      </c>
      <c r="C795" t="s">
        <v>32</v>
      </c>
      <c r="D795" t="s">
        <v>18</v>
      </c>
      <c r="E795" t="s">
        <v>24</v>
      </c>
      <c r="F795">
        <v>60</v>
      </c>
    </row>
    <row r="796" spans="1:6" x14ac:dyDescent="0.25">
      <c r="A796" t="s">
        <v>1456</v>
      </c>
      <c r="B796" t="s">
        <v>810</v>
      </c>
      <c r="C796" t="s">
        <v>37</v>
      </c>
      <c r="D796" t="s">
        <v>18</v>
      </c>
      <c r="E796" t="s">
        <v>19</v>
      </c>
      <c r="F796">
        <v>57</v>
      </c>
    </row>
    <row r="797" spans="1:6" x14ac:dyDescent="0.25">
      <c r="A797" t="s">
        <v>1457</v>
      </c>
      <c r="B797" t="s">
        <v>629</v>
      </c>
      <c r="C797" t="s">
        <v>22</v>
      </c>
      <c r="D797" t="s">
        <v>29</v>
      </c>
      <c r="E797" t="s">
        <v>19</v>
      </c>
      <c r="F797">
        <v>43</v>
      </c>
    </row>
    <row r="798" spans="1:6" x14ac:dyDescent="0.25">
      <c r="A798" t="s">
        <v>1458</v>
      </c>
      <c r="B798" t="s">
        <v>1459</v>
      </c>
      <c r="C798" t="s">
        <v>32</v>
      </c>
      <c r="D798" t="s">
        <v>29</v>
      </c>
      <c r="E798" t="s">
        <v>19</v>
      </c>
      <c r="F798">
        <v>40</v>
      </c>
    </row>
    <row r="799" spans="1:6" x14ac:dyDescent="0.25">
      <c r="A799" t="s">
        <v>1460</v>
      </c>
      <c r="B799" t="s">
        <v>198</v>
      </c>
      <c r="C799" t="s">
        <v>22</v>
      </c>
      <c r="D799" t="s">
        <v>23</v>
      </c>
      <c r="E799" t="s">
        <v>19</v>
      </c>
      <c r="F799">
        <v>61</v>
      </c>
    </row>
    <row r="800" spans="1:6" x14ac:dyDescent="0.25">
      <c r="A800" t="s">
        <v>1461</v>
      </c>
      <c r="B800" t="s">
        <v>1462</v>
      </c>
      <c r="C800" t="s">
        <v>32</v>
      </c>
      <c r="D800" t="s">
        <v>29</v>
      </c>
      <c r="E800" t="s">
        <v>19</v>
      </c>
      <c r="F800">
        <v>56</v>
      </c>
    </row>
    <row r="801" spans="1:6" x14ac:dyDescent="0.25">
      <c r="A801" t="s">
        <v>1463</v>
      </c>
      <c r="B801" t="s">
        <v>1263</v>
      </c>
      <c r="C801" t="s">
        <v>32</v>
      </c>
      <c r="D801" t="s">
        <v>29</v>
      </c>
      <c r="E801" t="s">
        <v>19</v>
      </c>
      <c r="F801">
        <v>32</v>
      </c>
    </row>
    <row r="802" spans="1:6" x14ac:dyDescent="0.25">
      <c r="A802" t="s">
        <v>1464</v>
      </c>
      <c r="B802" t="s">
        <v>1465</v>
      </c>
      <c r="C802" t="s">
        <v>32</v>
      </c>
      <c r="D802" t="s">
        <v>18</v>
      </c>
      <c r="E802" t="s">
        <v>19</v>
      </c>
      <c r="F802">
        <v>21</v>
      </c>
    </row>
    <row r="803" spans="1:6" x14ac:dyDescent="0.25">
      <c r="A803" t="s">
        <v>1466</v>
      </c>
      <c r="B803" t="s">
        <v>557</v>
      </c>
      <c r="C803" t="s">
        <v>32</v>
      </c>
      <c r="D803" t="s">
        <v>23</v>
      </c>
      <c r="E803" t="s">
        <v>24</v>
      </c>
      <c r="F803">
        <v>46</v>
      </c>
    </row>
    <row r="804" spans="1:6" x14ac:dyDescent="0.25">
      <c r="A804" t="s">
        <v>1467</v>
      </c>
      <c r="B804" t="s">
        <v>1468</v>
      </c>
      <c r="C804" t="s">
        <v>17</v>
      </c>
      <c r="D804" t="s">
        <v>23</v>
      </c>
      <c r="E804" t="s">
        <v>19</v>
      </c>
      <c r="F804">
        <v>39</v>
      </c>
    </row>
    <row r="805" spans="1:6" x14ac:dyDescent="0.25">
      <c r="A805" t="s">
        <v>1469</v>
      </c>
      <c r="B805" t="s">
        <v>260</v>
      </c>
      <c r="C805" t="s">
        <v>32</v>
      </c>
      <c r="D805" t="s">
        <v>29</v>
      </c>
      <c r="E805" t="s">
        <v>19</v>
      </c>
      <c r="F805">
        <v>42</v>
      </c>
    </row>
    <row r="806" spans="1:6" x14ac:dyDescent="0.25">
      <c r="A806" t="s">
        <v>1470</v>
      </c>
      <c r="B806" t="s">
        <v>1471</v>
      </c>
      <c r="C806" t="s">
        <v>32</v>
      </c>
      <c r="D806" t="s">
        <v>23</v>
      </c>
      <c r="E806" t="s">
        <v>24</v>
      </c>
      <c r="F806">
        <v>30</v>
      </c>
    </row>
    <row r="807" spans="1:6" x14ac:dyDescent="0.25">
      <c r="A807" t="s">
        <v>1472</v>
      </c>
      <c r="B807" t="s">
        <v>1473</v>
      </c>
      <c r="C807" t="s">
        <v>32</v>
      </c>
      <c r="D807" t="s">
        <v>23</v>
      </c>
      <c r="E807" t="s">
        <v>24</v>
      </c>
      <c r="F807">
        <v>35</v>
      </c>
    </row>
    <row r="808" spans="1:6" x14ac:dyDescent="0.25">
      <c r="A808" t="s">
        <v>1474</v>
      </c>
      <c r="B808" t="s">
        <v>1475</v>
      </c>
      <c r="C808" t="s">
        <v>17</v>
      </c>
      <c r="D808" t="s">
        <v>23</v>
      </c>
      <c r="E808" t="s">
        <v>24</v>
      </c>
      <c r="F808">
        <v>50</v>
      </c>
    </row>
    <row r="809" spans="1:6" x14ac:dyDescent="0.25">
      <c r="A809" t="s">
        <v>1476</v>
      </c>
      <c r="B809" t="s">
        <v>1477</v>
      </c>
      <c r="C809" t="s">
        <v>22</v>
      </c>
      <c r="D809" t="s">
        <v>29</v>
      </c>
      <c r="E809" t="s">
        <v>19</v>
      </c>
      <c r="F809">
        <v>33</v>
      </c>
    </row>
    <row r="810" spans="1:6" x14ac:dyDescent="0.25">
      <c r="A810" t="s">
        <v>1478</v>
      </c>
      <c r="B810" t="s">
        <v>1479</v>
      </c>
      <c r="C810" t="s">
        <v>22</v>
      </c>
      <c r="D810" t="s">
        <v>23</v>
      </c>
      <c r="E810" t="s">
        <v>24</v>
      </c>
      <c r="F810">
        <v>62</v>
      </c>
    </row>
    <row r="811" spans="1:6" x14ac:dyDescent="0.25">
      <c r="A811" t="s">
        <v>1480</v>
      </c>
      <c r="B811" t="s">
        <v>1481</v>
      </c>
      <c r="C811" t="s">
        <v>17</v>
      </c>
      <c r="D811" t="s">
        <v>23</v>
      </c>
      <c r="E811" t="s">
        <v>19</v>
      </c>
      <c r="F811">
        <v>59</v>
      </c>
    </row>
    <row r="812" spans="1:6" x14ac:dyDescent="0.25">
      <c r="A812" t="s">
        <v>1482</v>
      </c>
      <c r="B812" t="s">
        <v>1483</v>
      </c>
      <c r="C812" t="s">
        <v>17</v>
      </c>
      <c r="D812" t="s">
        <v>23</v>
      </c>
      <c r="E812" t="s">
        <v>19</v>
      </c>
      <c r="F812">
        <v>61</v>
      </c>
    </row>
    <row r="813" spans="1:6" x14ac:dyDescent="0.25">
      <c r="A813" t="s">
        <v>1484</v>
      </c>
      <c r="B813" t="s">
        <v>422</v>
      </c>
      <c r="C813" t="s">
        <v>22</v>
      </c>
      <c r="D813" t="s">
        <v>18</v>
      </c>
      <c r="E813" t="s">
        <v>19</v>
      </c>
      <c r="F813">
        <v>19</v>
      </c>
    </row>
    <row r="814" spans="1:6" x14ac:dyDescent="0.25">
      <c r="A814" t="s">
        <v>1485</v>
      </c>
      <c r="B814" t="s">
        <v>1486</v>
      </c>
      <c r="C814" t="s">
        <v>32</v>
      </c>
      <c r="D814" t="s">
        <v>29</v>
      </c>
      <c r="E814" t="s">
        <v>19</v>
      </c>
      <c r="F814">
        <v>52</v>
      </c>
    </row>
    <row r="815" spans="1:6" x14ac:dyDescent="0.25">
      <c r="A815" t="s">
        <v>1487</v>
      </c>
      <c r="B815" t="s">
        <v>1488</v>
      </c>
      <c r="C815" t="s">
        <v>17</v>
      </c>
      <c r="D815" t="s">
        <v>23</v>
      </c>
      <c r="E815" t="s">
        <v>24</v>
      </c>
      <c r="F815">
        <v>59</v>
      </c>
    </row>
    <row r="816" spans="1:6" x14ac:dyDescent="0.25">
      <c r="A816" t="s">
        <v>1489</v>
      </c>
      <c r="B816" t="s">
        <v>1490</v>
      </c>
      <c r="C816" t="s">
        <v>37</v>
      </c>
      <c r="D816" t="s">
        <v>23</v>
      </c>
      <c r="E816" t="s">
        <v>24</v>
      </c>
      <c r="F816">
        <v>51</v>
      </c>
    </row>
    <row r="817" spans="1:6" x14ac:dyDescent="0.25">
      <c r="A817" t="s">
        <v>1491</v>
      </c>
      <c r="B817" t="s">
        <v>1492</v>
      </c>
      <c r="C817" t="s">
        <v>32</v>
      </c>
      <c r="D817" t="s">
        <v>29</v>
      </c>
      <c r="E817" t="s">
        <v>19</v>
      </c>
      <c r="F817">
        <v>47</v>
      </c>
    </row>
    <row r="818" spans="1:6" x14ac:dyDescent="0.25">
      <c r="A818" t="s">
        <v>1493</v>
      </c>
      <c r="B818" t="s">
        <v>1494</v>
      </c>
      <c r="C818" t="s">
        <v>32</v>
      </c>
      <c r="D818" t="s">
        <v>23</v>
      </c>
      <c r="E818" t="s">
        <v>19</v>
      </c>
      <c r="F818">
        <v>30</v>
      </c>
    </row>
    <row r="819" spans="1:6" x14ac:dyDescent="0.25">
      <c r="A819" t="s">
        <v>1495</v>
      </c>
      <c r="B819" t="s">
        <v>1496</v>
      </c>
      <c r="C819" t="s">
        <v>22</v>
      </c>
      <c r="D819" t="s">
        <v>29</v>
      </c>
      <c r="E819" t="s">
        <v>19</v>
      </c>
      <c r="F819">
        <v>30</v>
      </c>
    </row>
    <row r="820" spans="1:6" x14ac:dyDescent="0.25">
      <c r="A820" t="s">
        <v>1497</v>
      </c>
      <c r="B820" t="s">
        <v>1498</v>
      </c>
      <c r="C820" t="s">
        <v>22</v>
      </c>
      <c r="D820" t="s">
        <v>23</v>
      </c>
      <c r="E820" t="s">
        <v>24</v>
      </c>
      <c r="F820">
        <v>35</v>
      </c>
    </row>
    <row r="821" spans="1:6" x14ac:dyDescent="0.25">
      <c r="A821" t="s">
        <v>1499</v>
      </c>
      <c r="B821" t="s">
        <v>1500</v>
      </c>
      <c r="C821" t="s">
        <v>32</v>
      </c>
      <c r="D821" t="s">
        <v>18</v>
      </c>
      <c r="E821" t="s">
        <v>19</v>
      </c>
      <c r="F821">
        <v>49</v>
      </c>
    </row>
    <row r="822" spans="1:6" x14ac:dyDescent="0.25">
      <c r="A822" t="s">
        <v>1501</v>
      </c>
      <c r="B822" t="s">
        <v>1502</v>
      </c>
      <c r="C822" t="s">
        <v>37</v>
      </c>
      <c r="D822" t="s">
        <v>23</v>
      </c>
      <c r="E822" t="s">
        <v>19</v>
      </c>
      <c r="F822">
        <v>49</v>
      </c>
    </row>
    <row r="823" spans="1:6" x14ac:dyDescent="0.25">
      <c r="A823" t="s">
        <v>1503</v>
      </c>
      <c r="B823" t="s">
        <v>1504</v>
      </c>
      <c r="C823" t="s">
        <v>22</v>
      </c>
      <c r="D823" t="s">
        <v>29</v>
      </c>
      <c r="E823" t="s">
        <v>24</v>
      </c>
      <c r="F823">
        <v>52</v>
      </c>
    </row>
    <row r="824" spans="1:6" x14ac:dyDescent="0.25">
      <c r="A824" t="s">
        <v>1505</v>
      </c>
      <c r="B824" t="s">
        <v>1506</v>
      </c>
      <c r="C824" t="s">
        <v>32</v>
      </c>
      <c r="D824" t="s">
        <v>23</v>
      </c>
      <c r="E824" t="s">
        <v>24</v>
      </c>
      <c r="F824">
        <v>56</v>
      </c>
    </row>
    <row r="825" spans="1:6" x14ac:dyDescent="0.25">
      <c r="A825" t="s">
        <v>1507</v>
      </c>
      <c r="B825" t="s">
        <v>1508</v>
      </c>
      <c r="C825" t="s">
        <v>32</v>
      </c>
      <c r="D825" t="s">
        <v>18</v>
      </c>
      <c r="E825" t="s">
        <v>19</v>
      </c>
      <c r="F825">
        <v>63</v>
      </c>
    </row>
    <row r="826" spans="1:6" x14ac:dyDescent="0.25">
      <c r="A826" t="s">
        <v>1509</v>
      </c>
      <c r="B826" t="s">
        <v>647</v>
      </c>
      <c r="C826" t="s">
        <v>32</v>
      </c>
      <c r="D826" t="s">
        <v>18</v>
      </c>
      <c r="E826" t="s">
        <v>24</v>
      </c>
      <c r="F826">
        <v>46</v>
      </c>
    </row>
    <row r="827" spans="1:6" x14ac:dyDescent="0.25">
      <c r="A827" t="s">
        <v>1510</v>
      </c>
      <c r="B827" t="s">
        <v>1511</v>
      </c>
      <c r="C827" t="s">
        <v>17</v>
      </c>
      <c r="D827" t="s">
        <v>29</v>
      </c>
      <c r="E827" t="s">
        <v>24</v>
      </c>
      <c r="F827">
        <v>46</v>
      </c>
    </row>
    <row r="828" spans="1:6" x14ac:dyDescent="0.25">
      <c r="A828" t="s">
        <v>1512</v>
      </c>
      <c r="B828" t="s">
        <v>1513</v>
      </c>
      <c r="C828" t="s">
        <v>22</v>
      </c>
      <c r="D828" t="s">
        <v>23</v>
      </c>
      <c r="E828" t="s">
        <v>19</v>
      </c>
      <c r="F828">
        <v>61</v>
      </c>
    </row>
    <row r="829" spans="1:6" x14ac:dyDescent="0.25">
      <c r="A829" t="s">
        <v>1514</v>
      </c>
      <c r="B829" t="s">
        <v>942</v>
      </c>
      <c r="C829" t="s">
        <v>22</v>
      </c>
      <c r="D829" t="s">
        <v>23</v>
      </c>
      <c r="E829" t="s">
        <v>24</v>
      </c>
      <c r="F829">
        <v>33</v>
      </c>
    </row>
    <row r="830" spans="1:6" x14ac:dyDescent="0.25">
      <c r="A830" t="s">
        <v>1515</v>
      </c>
      <c r="B830" t="s">
        <v>1516</v>
      </c>
      <c r="C830" t="s">
        <v>37</v>
      </c>
      <c r="D830" t="s">
        <v>18</v>
      </c>
      <c r="E830" t="s">
        <v>19</v>
      </c>
      <c r="F830">
        <v>61</v>
      </c>
    </row>
    <row r="831" spans="1:6" x14ac:dyDescent="0.25">
      <c r="A831" t="s">
        <v>1517</v>
      </c>
      <c r="B831" t="s">
        <v>1518</v>
      </c>
      <c r="C831" t="s">
        <v>22</v>
      </c>
      <c r="D831" t="s">
        <v>29</v>
      </c>
      <c r="E831" t="s">
        <v>24</v>
      </c>
      <c r="F831">
        <v>64</v>
      </c>
    </row>
    <row r="832" spans="1:6" x14ac:dyDescent="0.25">
      <c r="A832" t="s">
        <v>1519</v>
      </c>
      <c r="B832" t="s">
        <v>1520</v>
      </c>
      <c r="C832" t="s">
        <v>22</v>
      </c>
      <c r="D832" t="s">
        <v>23</v>
      </c>
      <c r="E832" t="s">
        <v>19</v>
      </c>
      <c r="F832">
        <v>27</v>
      </c>
    </row>
    <row r="833" spans="1:6" x14ac:dyDescent="0.25">
      <c r="A833" t="s">
        <v>1521</v>
      </c>
      <c r="B833" t="s">
        <v>1522</v>
      </c>
      <c r="C833" t="s">
        <v>37</v>
      </c>
      <c r="D833" t="s">
        <v>23</v>
      </c>
      <c r="E833" t="s">
        <v>19</v>
      </c>
      <c r="F833">
        <v>47</v>
      </c>
    </row>
    <row r="834" spans="1:6" x14ac:dyDescent="0.25">
      <c r="A834" t="s">
        <v>1523</v>
      </c>
      <c r="B834" t="s">
        <v>1524</v>
      </c>
      <c r="C834" t="s">
        <v>22</v>
      </c>
      <c r="D834" t="s">
        <v>23</v>
      </c>
      <c r="E834" t="s">
        <v>19</v>
      </c>
      <c r="F834">
        <v>42</v>
      </c>
    </row>
    <row r="835" spans="1:6" x14ac:dyDescent="0.25">
      <c r="A835" t="s">
        <v>1525</v>
      </c>
      <c r="B835" t="s">
        <v>83</v>
      </c>
      <c r="C835" t="s">
        <v>17</v>
      </c>
      <c r="D835" t="s">
        <v>18</v>
      </c>
      <c r="E835" t="s">
        <v>24</v>
      </c>
      <c r="F835">
        <v>56</v>
      </c>
    </row>
    <row r="836" spans="1:6" x14ac:dyDescent="0.25">
      <c r="A836" t="s">
        <v>1526</v>
      </c>
      <c r="B836" t="s">
        <v>856</v>
      </c>
      <c r="C836" t="s">
        <v>17</v>
      </c>
      <c r="D836" t="s">
        <v>29</v>
      </c>
      <c r="E836" t="s">
        <v>19</v>
      </c>
      <c r="F836">
        <v>37</v>
      </c>
    </row>
    <row r="837" spans="1:6" x14ac:dyDescent="0.25">
      <c r="A837" t="s">
        <v>1527</v>
      </c>
      <c r="B837" t="s">
        <v>1528</v>
      </c>
      <c r="C837" t="s">
        <v>17</v>
      </c>
      <c r="D837" t="s">
        <v>29</v>
      </c>
      <c r="E837" t="s">
        <v>24</v>
      </c>
      <c r="F837">
        <v>22</v>
      </c>
    </row>
    <row r="838" spans="1:6" x14ac:dyDescent="0.25">
      <c r="A838" t="s">
        <v>1529</v>
      </c>
      <c r="B838" t="s">
        <v>1530</v>
      </c>
      <c r="C838" t="s">
        <v>17</v>
      </c>
      <c r="D838" t="s">
        <v>29</v>
      </c>
      <c r="E838" t="s">
        <v>19</v>
      </c>
      <c r="F838">
        <v>18</v>
      </c>
    </row>
    <row r="839" spans="1:6" x14ac:dyDescent="0.25">
      <c r="A839" t="s">
        <v>1531</v>
      </c>
      <c r="B839" t="s">
        <v>1135</v>
      </c>
      <c r="C839" t="s">
        <v>22</v>
      </c>
      <c r="D839" t="s">
        <v>23</v>
      </c>
      <c r="E839" t="s">
        <v>19</v>
      </c>
      <c r="F839">
        <v>47</v>
      </c>
    </row>
    <row r="840" spans="1:6" x14ac:dyDescent="0.25">
      <c r="A840" t="s">
        <v>1532</v>
      </c>
      <c r="B840" t="s">
        <v>930</v>
      </c>
      <c r="C840" t="s">
        <v>32</v>
      </c>
      <c r="D840" t="s">
        <v>23</v>
      </c>
      <c r="E840" t="s">
        <v>24</v>
      </c>
      <c r="F840">
        <v>20</v>
      </c>
    </row>
    <row r="841" spans="1:6" x14ac:dyDescent="0.25">
      <c r="A841" t="s">
        <v>1533</v>
      </c>
      <c r="B841" t="s">
        <v>580</v>
      </c>
      <c r="C841" t="s">
        <v>32</v>
      </c>
      <c r="D841" t="s">
        <v>23</v>
      </c>
      <c r="E841" t="s">
        <v>19</v>
      </c>
      <c r="F841">
        <v>62</v>
      </c>
    </row>
    <row r="842" spans="1:6" x14ac:dyDescent="0.25">
      <c r="A842" t="s">
        <v>1534</v>
      </c>
      <c r="B842" t="s">
        <v>1535</v>
      </c>
      <c r="C842" t="s">
        <v>17</v>
      </c>
      <c r="D842" t="s">
        <v>29</v>
      </c>
      <c r="E842" t="s">
        <v>19</v>
      </c>
      <c r="F842">
        <v>31</v>
      </c>
    </row>
    <row r="843" spans="1:6" x14ac:dyDescent="0.25">
      <c r="A843" t="s">
        <v>1536</v>
      </c>
      <c r="B843" t="s">
        <v>1537</v>
      </c>
      <c r="C843" t="s">
        <v>32</v>
      </c>
      <c r="D843" t="s">
        <v>23</v>
      </c>
      <c r="E843" t="s">
        <v>24</v>
      </c>
      <c r="F843">
        <v>47</v>
      </c>
    </row>
    <row r="844" spans="1:6" x14ac:dyDescent="0.25">
      <c r="A844" t="s">
        <v>1538</v>
      </c>
      <c r="B844" t="s">
        <v>1539</v>
      </c>
      <c r="C844" t="s">
        <v>17</v>
      </c>
      <c r="D844" t="s">
        <v>23</v>
      </c>
      <c r="E844" t="s">
        <v>19</v>
      </c>
      <c r="F844">
        <v>21</v>
      </c>
    </row>
    <row r="845" spans="1:6" x14ac:dyDescent="0.25">
      <c r="A845" t="s">
        <v>1540</v>
      </c>
      <c r="B845" t="s">
        <v>1541</v>
      </c>
      <c r="C845" t="s">
        <v>37</v>
      </c>
      <c r="D845" t="s">
        <v>23</v>
      </c>
      <c r="E845" t="s">
        <v>19</v>
      </c>
      <c r="F845">
        <v>35</v>
      </c>
    </row>
    <row r="846" spans="1:6" x14ac:dyDescent="0.25">
      <c r="A846" t="s">
        <v>1542</v>
      </c>
      <c r="B846" t="s">
        <v>1543</v>
      </c>
      <c r="C846" t="s">
        <v>17</v>
      </c>
      <c r="D846" t="s">
        <v>23</v>
      </c>
      <c r="E846" t="s">
        <v>19</v>
      </c>
      <c r="F846">
        <v>54</v>
      </c>
    </row>
    <row r="847" spans="1:6" x14ac:dyDescent="0.25">
      <c r="A847" t="s">
        <v>1544</v>
      </c>
      <c r="B847" t="s">
        <v>1545</v>
      </c>
      <c r="C847" t="s">
        <v>32</v>
      </c>
      <c r="D847" t="s">
        <v>29</v>
      </c>
      <c r="E847" t="s">
        <v>19</v>
      </c>
      <c r="F847">
        <v>42</v>
      </c>
    </row>
    <row r="848" spans="1:6" x14ac:dyDescent="0.25">
      <c r="A848" t="s">
        <v>1546</v>
      </c>
      <c r="B848" t="s">
        <v>1547</v>
      </c>
      <c r="C848" t="s">
        <v>22</v>
      </c>
      <c r="D848" t="s">
        <v>23</v>
      </c>
      <c r="E848" t="s">
        <v>24</v>
      </c>
      <c r="F848">
        <v>18</v>
      </c>
    </row>
    <row r="849" spans="1:6" x14ac:dyDescent="0.25">
      <c r="A849" t="s">
        <v>1548</v>
      </c>
      <c r="B849" t="s">
        <v>1549</v>
      </c>
      <c r="C849" t="s">
        <v>32</v>
      </c>
      <c r="D849" t="s">
        <v>23</v>
      </c>
      <c r="E849" t="s">
        <v>24</v>
      </c>
      <c r="F849">
        <v>63</v>
      </c>
    </row>
    <row r="850" spans="1:6" x14ac:dyDescent="0.25">
      <c r="A850" t="s">
        <v>1550</v>
      </c>
      <c r="B850" t="s">
        <v>97</v>
      </c>
      <c r="C850" t="s">
        <v>22</v>
      </c>
      <c r="D850" t="s">
        <v>29</v>
      </c>
      <c r="E850" t="s">
        <v>19</v>
      </c>
      <c r="F850">
        <v>32</v>
      </c>
    </row>
    <row r="851" spans="1:6" x14ac:dyDescent="0.25">
      <c r="A851" t="s">
        <v>1551</v>
      </c>
      <c r="B851" t="s">
        <v>1552</v>
      </c>
      <c r="C851" t="s">
        <v>32</v>
      </c>
      <c r="D851" t="s">
        <v>23</v>
      </c>
      <c r="E851" t="s">
        <v>24</v>
      </c>
      <c r="F851">
        <v>26</v>
      </c>
    </row>
    <row r="852" spans="1:6" x14ac:dyDescent="0.25">
      <c r="A852" t="s">
        <v>1553</v>
      </c>
      <c r="B852" t="s">
        <v>1554</v>
      </c>
      <c r="C852" t="s">
        <v>17</v>
      </c>
      <c r="D852" t="s">
        <v>23</v>
      </c>
      <c r="E852" t="s">
        <v>19</v>
      </c>
      <c r="F852">
        <v>32</v>
      </c>
    </row>
    <row r="853" spans="1:6" x14ac:dyDescent="0.25">
      <c r="A853" t="s">
        <v>1555</v>
      </c>
      <c r="B853" t="s">
        <v>1556</v>
      </c>
      <c r="C853" t="s">
        <v>37</v>
      </c>
      <c r="D853" t="s">
        <v>23</v>
      </c>
      <c r="E853" t="s">
        <v>24</v>
      </c>
      <c r="F853">
        <v>41</v>
      </c>
    </row>
    <row r="854" spans="1:6" x14ac:dyDescent="0.25">
      <c r="A854" t="s">
        <v>1557</v>
      </c>
      <c r="B854" t="s">
        <v>1558</v>
      </c>
      <c r="C854" t="s">
        <v>22</v>
      </c>
      <c r="D854" t="s">
        <v>18</v>
      </c>
      <c r="E854" t="s">
        <v>19</v>
      </c>
      <c r="F854">
        <v>21</v>
      </c>
    </row>
    <row r="855" spans="1:6" x14ac:dyDescent="0.25">
      <c r="A855" t="s">
        <v>1559</v>
      </c>
      <c r="B855" t="s">
        <v>1112</v>
      </c>
      <c r="C855" t="s">
        <v>32</v>
      </c>
      <c r="D855" t="s">
        <v>23</v>
      </c>
      <c r="E855" t="s">
        <v>19</v>
      </c>
      <c r="F855">
        <v>29</v>
      </c>
    </row>
    <row r="856" spans="1:6" x14ac:dyDescent="0.25">
      <c r="A856" t="s">
        <v>1560</v>
      </c>
      <c r="B856" t="s">
        <v>1561</v>
      </c>
      <c r="C856" t="s">
        <v>37</v>
      </c>
      <c r="D856" t="s">
        <v>29</v>
      </c>
      <c r="E856" t="s">
        <v>19</v>
      </c>
      <c r="F856">
        <v>54</v>
      </c>
    </row>
    <row r="857" spans="1:6" x14ac:dyDescent="0.25">
      <c r="A857" t="s">
        <v>1562</v>
      </c>
      <c r="B857" t="s">
        <v>1563</v>
      </c>
      <c r="C857" t="s">
        <v>37</v>
      </c>
      <c r="D857" t="s">
        <v>18</v>
      </c>
      <c r="E857" t="s">
        <v>19</v>
      </c>
      <c r="F857">
        <v>54</v>
      </c>
    </row>
    <row r="858" spans="1:6" x14ac:dyDescent="0.25">
      <c r="A858" t="s">
        <v>1564</v>
      </c>
      <c r="B858" t="s">
        <v>1565</v>
      </c>
      <c r="C858" t="s">
        <v>17</v>
      </c>
      <c r="D858" t="s">
        <v>29</v>
      </c>
      <c r="E858" t="s">
        <v>19</v>
      </c>
      <c r="F858">
        <v>60</v>
      </c>
    </row>
    <row r="859" spans="1:6" x14ac:dyDescent="0.25">
      <c r="A859" t="s">
        <v>1566</v>
      </c>
      <c r="B859" t="s">
        <v>1567</v>
      </c>
      <c r="C859" t="s">
        <v>22</v>
      </c>
      <c r="D859" t="s">
        <v>23</v>
      </c>
      <c r="E859" t="s">
        <v>19</v>
      </c>
      <c r="F859">
        <v>23</v>
      </c>
    </row>
    <row r="860" spans="1:6" x14ac:dyDescent="0.25">
      <c r="A860" t="s">
        <v>1568</v>
      </c>
      <c r="B860" t="s">
        <v>1547</v>
      </c>
      <c r="C860" t="s">
        <v>17</v>
      </c>
      <c r="D860" t="s">
        <v>29</v>
      </c>
      <c r="E860" t="s">
        <v>24</v>
      </c>
      <c r="F860">
        <v>56</v>
      </c>
    </row>
    <row r="861" spans="1:6" x14ac:dyDescent="0.25">
      <c r="A861" t="s">
        <v>1569</v>
      </c>
      <c r="B861" t="s">
        <v>1570</v>
      </c>
      <c r="C861" t="s">
        <v>17</v>
      </c>
      <c r="D861" t="s">
        <v>23</v>
      </c>
      <c r="E861" t="s">
        <v>19</v>
      </c>
      <c r="F861">
        <v>63</v>
      </c>
    </row>
    <row r="862" spans="1:6" x14ac:dyDescent="0.25">
      <c r="A862" t="s">
        <v>1571</v>
      </c>
      <c r="B862" t="s">
        <v>375</v>
      </c>
      <c r="C862" t="s">
        <v>32</v>
      </c>
      <c r="D862" t="s">
        <v>23</v>
      </c>
      <c r="E862" t="s">
        <v>24</v>
      </c>
      <c r="F862">
        <v>41</v>
      </c>
    </row>
    <row r="863" spans="1:6" x14ac:dyDescent="0.25">
      <c r="A863" t="s">
        <v>1572</v>
      </c>
      <c r="B863" t="s">
        <v>1462</v>
      </c>
      <c r="C863" t="s">
        <v>37</v>
      </c>
      <c r="D863" t="s">
        <v>29</v>
      </c>
      <c r="E863" t="s">
        <v>19</v>
      </c>
      <c r="F863">
        <v>28</v>
      </c>
    </row>
    <row r="864" spans="1:6" x14ac:dyDescent="0.25">
      <c r="A864" t="s">
        <v>1573</v>
      </c>
      <c r="B864" t="s">
        <v>1574</v>
      </c>
      <c r="C864" t="s">
        <v>37</v>
      </c>
      <c r="D864" t="s">
        <v>23</v>
      </c>
      <c r="E864" t="s">
        <v>24</v>
      </c>
      <c r="F864">
        <v>30</v>
      </c>
    </row>
    <row r="865" spans="1:6" x14ac:dyDescent="0.25">
      <c r="A865" t="s">
        <v>1575</v>
      </c>
      <c r="B865" t="s">
        <v>1033</v>
      </c>
      <c r="C865" t="s">
        <v>32</v>
      </c>
      <c r="D865" t="s">
        <v>23</v>
      </c>
      <c r="E865" t="s">
        <v>24</v>
      </c>
      <c r="F865">
        <v>51</v>
      </c>
    </row>
    <row r="866" spans="1:6" x14ac:dyDescent="0.25">
      <c r="A866" t="s">
        <v>1576</v>
      </c>
      <c r="B866" t="s">
        <v>543</v>
      </c>
      <c r="C866" t="s">
        <v>32</v>
      </c>
      <c r="D866" t="s">
        <v>23</v>
      </c>
      <c r="E866" t="s">
        <v>24</v>
      </c>
      <c r="F866">
        <v>42</v>
      </c>
    </row>
    <row r="867" spans="1:6" x14ac:dyDescent="0.25">
      <c r="A867" t="s">
        <v>1577</v>
      </c>
      <c r="B867" t="s">
        <v>1578</v>
      </c>
      <c r="C867" t="s">
        <v>37</v>
      </c>
      <c r="D867" t="s">
        <v>23</v>
      </c>
      <c r="E867" t="s">
        <v>19</v>
      </c>
      <c r="F867">
        <v>24</v>
      </c>
    </row>
    <row r="868" spans="1:6" x14ac:dyDescent="0.25">
      <c r="A868" t="s">
        <v>1579</v>
      </c>
      <c r="B868" t="s">
        <v>1092</v>
      </c>
      <c r="C868" t="s">
        <v>37</v>
      </c>
      <c r="D868" t="s">
        <v>23</v>
      </c>
      <c r="E868" t="s">
        <v>19</v>
      </c>
      <c r="F868">
        <v>21</v>
      </c>
    </row>
    <row r="869" spans="1:6" x14ac:dyDescent="0.25">
      <c r="A869" t="s">
        <v>1580</v>
      </c>
      <c r="B869" t="s">
        <v>1581</v>
      </c>
      <c r="C869" t="s">
        <v>17</v>
      </c>
      <c r="D869" t="s">
        <v>29</v>
      </c>
      <c r="E869" t="s">
        <v>24</v>
      </c>
      <c r="F869">
        <v>25</v>
      </c>
    </row>
    <row r="870" spans="1:6" x14ac:dyDescent="0.25">
      <c r="A870" t="s">
        <v>1582</v>
      </c>
      <c r="B870" t="s">
        <v>1583</v>
      </c>
      <c r="C870" t="s">
        <v>32</v>
      </c>
      <c r="D870" t="s">
        <v>18</v>
      </c>
      <c r="E870" t="s">
        <v>19</v>
      </c>
      <c r="F870">
        <v>37</v>
      </c>
    </row>
    <row r="871" spans="1:6" x14ac:dyDescent="0.25">
      <c r="A871" t="s">
        <v>1584</v>
      </c>
      <c r="B871" t="s">
        <v>1585</v>
      </c>
      <c r="C871" t="s">
        <v>37</v>
      </c>
      <c r="D871" t="s">
        <v>23</v>
      </c>
      <c r="E871" t="s">
        <v>24</v>
      </c>
      <c r="F871">
        <v>46</v>
      </c>
    </row>
    <row r="872" spans="1:6" x14ac:dyDescent="0.25">
      <c r="A872" t="s">
        <v>1586</v>
      </c>
      <c r="B872" t="s">
        <v>1587</v>
      </c>
      <c r="C872" t="s">
        <v>22</v>
      </c>
      <c r="D872" t="s">
        <v>29</v>
      </c>
      <c r="E872" t="s">
        <v>19</v>
      </c>
      <c r="F872">
        <v>62</v>
      </c>
    </row>
    <row r="873" spans="1:6" x14ac:dyDescent="0.25">
      <c r="A873" t="s">
        <v>1588</v>
      </c>
      <c r="B873" t="s">
        <v>1219</v>
      </c>
      <c r="C873" t="s">
        <v>22</v>
      </c>
      <c r="D873" t="s">
        <v>23</v>
      </c>
      <c r="E873" t="s">
        <v>24</v>
      </c>
      <c r="F873">
        <v>63</v>
      </c>
    </row>
    <row r="874" spans="1:6" x14ac:dyDescent="0.25">
      <c r="A874" t="s">
        <v>1589</v>
      </c>
      <c r="B874" t="s">
        <v>1590</v>
      </c>
      <c r="C874" t="s">
        <v>37</v>
      </c>
      <c r="D874" t="s">
        <v>23</v>
      </c>
      <c r="E874" t="s">
        <v>24</v>
      </c>
      <c r="F874">
        <v>27</v>
      </c>
    </row>
    <row r="875" spans="1:6" x14ac:dyDescent="0.25">
      <c r="A875" t="s">
        <v>1591</v>
      </c>
      <c r="B875" t="s">
        <v>1592</v>
      </c>
      <c r="C875" t="s">
        <v>37</v>
      </c>
      <c r="D875" t="s">
        <v>23</v>
      </c>
      <c r="E875" t="s">
        <v>19</v>
      </c>
      <c r="F875">
        <v>60</v>
      </c>
    </row>
    <row r="876" spans="1:6" x14ac:dyDescent="0.25">
      <c r="A876" t="s">
        <v>1593</v>
      </c>
      <c r="B876" t="s">
        <v>1594</v>
      </c>
      <c r="C876" t="s">
        <v>37</v>
      </c>
      <c r="D876" t="s">
        <v>23</v>
      </c>
      <c r="E876" t="s">
        <v>24</v>
      </c>
      <c r="F876">
        <v>51</v>
      </c>
    </row>
    <row r="877" spans="1:6" x14ac:dyDescent="0.25">
      <c r="A877" t="s">
        <v>1595</v>
      </c>
      <c r="B877" t="s">
        <v>1596</v>
      </c>
      <c r="C877" t="s">
        <v>37</v>
      </c>
      <c r="D877" t="s">
        <v>23</v>
      </c>
      <c r="E877" t="s">
        <v>19</v>
      </c>
      <c r="F877">
        <v>43</v>
      </c>
    </row>
    <row r="878" spans="1:6" x14ac:dyDescent="0.25">
      <c r="A878" t="s">
        <v>1597</v>
      </c>
      <c r="B878" t="s">
        <v>1359</v>
      </c>
      <c r="C878" t="s">
        <v>17</v>
      </c>
      <c r="D878" t="s">
        <v>23</v>
      </c>
      <c r="E878" t="s">
        <v>24</v>
      </c>
      <c r="F878">
        <v>58</v>
      </c>
    </row>
    <row r="879" spans="1:6" x14ac:dyDescent="0.25">
      <c r="A879" t="s">
        <v>1598</v>
      </c>
      <c r="B879" t="s">
        <v>1453</v>
      </c>
      <c r="C879" t="s">
        <v>22</v>
      </c>
      <c r="D879" t="s">
        <v>23</v>
      </c>
      <c r="E879" t="s">
        <v>24</v>
      </c>
      <c r="F879">
        <v>20</v>
      </c>
    </row>
    <row r="880" spans="1:6" x14ac:dyDescent="0.25">
      <c r="A880" t="s">
        <v>1599</v>
      </c>
      <c r="B880" t="s">
        <v>1600</v>
      </c>
      <c r="C880" t="s">
        <v>32</v>
      </c>
      <c r="D880" t="s">
        <v>29</v>
      </c>
      <c r="E880" t="s">
        <v>19</v>
      </c>
      <c r="F880">
        <v>23</v>
      </c>
    </row>
    <row r="881" spans="1:6" x14ac:dyDescent="0.25">
      <c r="A881" t="s">
        <v>1601</v>
      </c>
      <c r="B881" t="s">
        <v>1488</v>
      </c>
      <c r="C881" t="s">
        <v>32</v>
      </c>
      <c r="D881" t="s">
        <v>23</v>
      </c>
      <c r="E881" t="s">
        <v>19</v>
      </c>
      <c r="F881">
        <v>22</v>
      </c>
    </row>
    <row r="882" spans="1:6" x14ac:dyDescent="0.25">
      <c r="A882" t="s">
        <v>1602</v>
      </c>
      <c r="B882" t="s">
        <v>1603</v>
      </c>
      <c r="C882" t="s">
        <v>22</v>
      </c>
      <c r="D882" t="s">
        <v>23</v>
      </c>
      <c r="E882" t="s">
        <v>19</v>
      </c>
      <c r="F882">
        <v>22</v>
      </c>
    </row>
    <row r="883" spans="1:6" x14ac:dyDescent="0.25">
      <c r="A883" t="s">
        <v>1604</v>
      </c>
      <c r="B883" t="s">
        <v>1605</v>
      </c>
      <c r="C883" t="s">
        <v>32</v>
      </c>
      <c r="D883" t="s">
        <v>23</v>
      </c>
      <c r="E883" t="s">
        <v>24</v>
      </c>
      <c r="F883">
        <v>64</v>
      </c>
    </row>
    <row r="884" spans="1:6" x14ac:dyDescent="0.25">
      <c r="A884" t="s">
        <v>1606</v>
      </c>
      <c r="B884" t="s">
        <v>449</v>
      </c>
      <c r="C884" t="s">
        <v>22</v>
      </c>
      <c r="D884" t="s">
        <v>29</v>
      </c>
      <c r="E884" t="s">
        <v>19</v>
      </c>
      <c r="F884">
        <v>40</v>
      </c>
    </row>
    <row r="885" spans="1:6" x14ac:dyDescent="0.25">
      <c r="A885" t="s">
        <v>1607</v>
      </c>
      <c r="B885" t="s">
        <v>1608</v>
      </c>
      <c r="C885" t="s">
        <v>32</v>
      </c>
      <c r="D885" t="s">
        <v>23</v>
      </c>
      <c r="E885" t="s">
        <v>24</v>
      </c>
      <c r="F885">
        <v>26</v>
      </c>
    </row>
    <row r="886" spans="1:6" x14ac:dyDescent="0.25">
      <c r="A886" t="s">
        <v>1609</v>
      </c>
      <c r="B886" t="s">
        <v>1610</v>
      </c>
      <c r="C886" t="s">
        <v>22</v>
      </c>
      <c r="D886" t="s">
        <v>29</v>
      </c>
      <c r="E886" t="s">
        <v>24</v>
      </c>
      <c r="F886">
        <v>52</v>
      </c>
    </row>
    <row r="887" spans="1:6" x14ac:dyDescent="0.25">
      <c r="A887" t="s">
        <v>1611</v>
      </c>
      <c r="B887" t="s">
        <v>1612</v>
      </c>
      <c r="C887" t="s">
        <v>22</v>
      </c>
      <c r="D887" t="s">
        <v>23</v>
      </c>
      <c r="E887" t="s">
        <v>19</v>
      </c>
      <c r="F887">
        <v>37</v>
      </c>
    </row>
    <row r="888" spans="1:6" x14ac:dyDescent="0.25">
      <c r="A888" t="s">
        <v>1613</v>
      </c>
      <c r="B888" t="s">
        <v>1614</v>
      </c>
      <c r="C888" t="s">
        <v>17</v>
      </c>
      <c r="D888" t="s">
        <v>23</v>
      </c>
      <c r="E888" t="s">
        <v>19</v>
      </c>
      <c r="F888">
        <v>59</v>
      </c>
    </row>
    <row r="889" spans="1:6" x14ac:dyDescent="0.25">
      <c r="A889" t="s">
        <v>1615</v>
      </c>
      <c r="B889" t="s">
        <v>1473</v>
      </c>
      <c r="C889" t="s">
        <v>17</v>
      </c>
      <c r="D889" t="s">
        <v>18</v>
      </c>
      <c r="E889" t="s">
        <v>24</v>
      </c>
      <c r="F889">
        <v>52</v>
      </c>
    </row>
    <row r="890" spans="1:6" x14ac:dyDescent="0.25">
      <c r="A890" t="s">
        <v>1616</v>
      </c>
      <c r="B890" t="s">
        <v>188</v>
      </c>
      <c r="C890" t="s">
        <v>37</v>
      </c>
      <c r="D890" t="s">
        <v>23</v>
      </c>
      <c r="E890" t="s">
        <v>24</v>
      </c>
      <c r="F890">
        <v>35</v>
      </c>
    </row>
    <row r="891" spans="1:6" x14ac:dyDescent="0.25">
      <c r="A891" t="s">
        <v>1617</v>
      </c>
      <c r="B891" t="s">
        <v>1618</v>
      </c>
      <c r="C891" t="s">
        <v>22</v>
      </c>
      <c r="D891" t="s">
        <v>23</v>
      </c>
      <c r="E891" t="s">
        <v>19</v>
      </c>
      <c r="F891">
        <v>34</v>
      </c>
    </row>
    <row r="892" spans="1:6" x14ac:dyDescent="0.25">
      <c r="A892" t="s">
        <v>1619</v>
      </c>
      <c r="B892" t="s">
        <v>1620</v>
      </c>
      <c r="C892" t="s">
        <v>17</v>
      </c>
      <c r="D892" t="s">
        <v>23</v>
      </c>
      <c r="E892" t="s">
        <v>19</v>
      </c>
      <c r="F892">
        <v>41</v>
      </c>
    </row>
    <row r="893" spans="1:6" x14ac:dyDescent="0.25">
      <c r="A893" t="s">
        <v>1621</v>
      </c>
      <c r="B893" t="s">
        <v>1622</v>
      </c>
      <c r="C893" t="s">
        <v>32</v>
      </c>
      <c r="D893" t="s">
        <v>18</v>
      </c>
      <c r="E893" t="s">
        <v>19</v>
      </c>
      <c r="F893">
        <v>20</v>
      </c>
    </row>
    <row r="894" spans="1:6" x14ac:dyDescent="0.25">
      <c r="A894" t="s">
        <v>1623</v>
      </c>
      <c r="B894" t="s">
        <v>1624</v>
      </c>
      <c r="C894" t="s">
        <v>32</v>
      </c>
      <c r="D894" t="s">
        <v>29</v>
      </c>
      <c r="E894" t="s">
        <v>19</v>
      </c>
      <c r="F894">
        <v>49</v>
      </c>
    </row>
    <row r="895" spans="1:6" x14ac:dyDescent="0.25">
      <c r="A895" t="s">
        <v>1625</v>
      </c>
      <c r="B895" t="s">
        <v>1626</v>
      </c>
      <c r="C895" t="s">
        <v>17</v>
      </c>
      <c r="D895" t="s">
        <v>29</v>
      </c>
      <c r="E895" t="s">
        <v>19</v>
      </c>
      <c r="F895">
        <v>52</v>
      </c>
    </row>
    <row r="896" spans="1:6" x14ac:dyDescent="0.25">
      <c r="A896" t="s">
        <v>1627</v>
      </c>
      <c r="B896" t="s">
        <v>1628</v>
      </c>
      <c r="C896" t="s">
        <v>22</v>
      </c>
      <c r="D896" t="s">
        <v>18</v>
      </c>
      <c r="E896" t="s">
        <v>24</v>
      </c>
      <c r="F896">
        <v>55</v>
      </c>
    </row>
    <row r="897" spans="1:6" x14ac:dyDescent="0.25">
      <c r="A897" t="s">
        <v>1629</v>
      </c>
      <c r="B897" t="s">
        <v>1630</v>
      </c>
      <c r="C897" t="s">
        <v>17</v>
      </c>
      <c r="D897" t="s">
        <v>23</v>
      </c>
      <c r="E897" t="s">
        <v>24</v>
      </c>
      <c r="F897">
        <v>30</v>
      </c>
    </row>
    <row r="898" spans="1:6" x14ac:dyDescent="0.25">
      <c r="A898" t="s">
        <v>1631</v>
      </c>
      <c r="B898" t="s">
        <v>1632</v>
      </c>
      <c r="C898" t="s">
        <v>32</v>
      </c>
      <c r="D898" t="s">
        <v>18</v>
      </c>
      <c r="E898" t="s">
        <v>24</v>
      </c>
      <c r="F898">
        <v>64</v>
      </c>
    </row>
    <row r="899" spans="1:6" x14ac:dyDescent="0.25">
      <c r="A899" t="s">
        <v>1633</v>
      </c>
      <c r="B899" t="s">
        <v>1634</v>
      </c>
      <c r="C899" t="s">
        <v>17</v>
      </c>
      <c r="D899" t="s">
        <v>23</v>
      </c>
      <c r="E899" t="s">
        <v>24</v>
      </c>
      <c r="F899">
        <v>42</v>
      </c>
    </row>
    <row r="900" spans="1:6" x14ac:dyDescent="0.25">
      <c r="A900" t="s">
        <v>1635</v>
      </c>
      <c r="B900" t="s">
        <v>1636</v>
      </c>
      <c r="C900" t="s">
        <v>17</v>
      </c>
      <c r="D900" t="s">
        <v>29</v>
      </c>
      <c r="E900" t="s">
        <v>19</v>
      </c>
      <c r="F900">
        <v>26</v>
      </c>
    </row>
    <row r="901" spans="1:6" x14ac:dyDescent="0.25">
      <c r="A901" t="s">
        <v>1637</v>
      </c>
      <c r="B901" t="s">
        <v>911</v>
      </c>
      <c r="C901" t="s">
        <v>17</v>
      </c>
      <c r="D901" t="s">
        <v>23</v>
      </c>
      <c r="E901" t="s">
        <v>19</v>
      </c>
      <c r="F901">
        <v>21</v>
      </c>
    </row>
    <row r="902" spans="1:6" x14ac:dyDescent="0.25">
      <c r="A902" t="s">
        <v>1638</v>
      </c>
      <c r="B902" t="s">
        <v>1639</v>
      </c>
      <c r="C902" t="s">
        <v>32</v>
      </c>
      <c r="D902" t="s">
        <v>23</v>
      </c>
      <c r="E902" t="s">
        <v>19</v>
      </c>
      <c r="F902">
        <v>31</v>
      </c>
    </row>
    <row r="903" spans="1:6" x14ac:dyDescent="0.25">
      <c r="A903" t="s">
        <v>1640</v>
      </c>
      <c r="B903" t="s">
        <v>225</v>
      </c>
      <c r="C903" t="s">
        <v>17</v>
      </c>
      <c r="D903" t="s">
        <v>18</v>
      </c>
      <c r="E903" t="s">
        <v>24</v>
      </c>
      <c r="F903">
        <v>54</v>
      </c>
    </row>
    <row r="904" spans="1:6" x14ac:dyDescent="0.25">
      <c r="A904" t="s">
        <v>1641</v>
      </c>
      <c r="B904" t="s">
        <v>1341</v>
      </c>
      <c r="C904" t="s">
        <v>37</v>
      </c>
      <c r="D904" t="s">
        <v>23</v>
      </c>
      <c r="E904" t="s">
        <v>24</v>
      </c>
      <c r="F904">
        <v>51</v>
      </c>
    </row>
    <row r="905" spans="1:6" x14ac:dyDescent="0.25">
      <c r="A905" t="s">
        <v>1642</v>
      </c>
      <c r="B905" t="s">
        <v>1643</v>
      </c>
      <c r="C905" t="s">
        <v>17</v>
      </c>
      <c r="D905" t="s">
        <v>18</v>
      </c>
      <c r="E905" t="s">
        <v>19</v>
      </c>
      <c r="F905">
        <v>28</v>
      </c>
    </row>
    <row r="906" spans="1:6" x14ac:dyDescent="0.25">
      <c r="A906" t="s">
        <v>1644</v>
      </c>
      <c r="B906" t="s">
        <v>1645</v>
      </c>
      <c r="C906" t="s">
        <v>32</v>
      </c>
      <c r="D906" t="s">
        <v>23</v>
      </c>
      <c r="E906" t="s">
        <v>19</v>
      </c>
      <c r="F906">
        <v>58</v>
      </c>
    </row>
    <row r="907" spans="1:6" x14ac:dyDescent="0.25">
      <c r="A907" t="s">
        <v>1646</v>
      </c>
      <c r="B907" t="s">
        <v>331</v>
      </c>
      <c r="C907" t="s">
        <v>22</v>
      </c>
      <c r="D907" t="s">
        <v>29</v>
      </c>
      <c r="E907" t="s">
        <v>24</v>
      </c>
      <c r="F907">
        <v>20</v>
      </c>
    </row>
    <row r="908" spans="1:6" x14ac:dyDescent="0.25">
      <c r="A908" t="s">
        <v>1647</v>
      </c>
      <c r="B908" t="s">
        <v>301</v>
      </c>
      <c r="C908" t="s">
        <v>22</v>
      </c>
      <c r="D908" t="s">
        <v>18</v>
      </c>
      <c r="E908" t="s">
        <v>24</v>
      </c>
      <c r="F908">
        <v>45</v>
      </c>
    </row>
    <row r="909" spans="1:6" x14ac:dyDescent="0.25">
      <c r="A909" t="s">
        <v>1648</v>
      </c>
      <c r="B909" t="s">
        <v>582</v>
      </c>
      <c r="C909" t="s">
        <v>17</v>
      </c>
      <c r="D909" t="s">
        <v>23</v>
      </c>
      <c r="E909" t="s">
        <v>19</v>
      </c>
      <c r="F909">
        <v>46</v>
      </c>
    </row>
    <row r="910" spans="1:6" x14ac:dyDescent="0.25">
      <c r="A910" t="s">
        <v>1649</v>
      </c>
      <c r="B910" t="s">
        <v>1650</v>
      </c>
      <c r="C910" t="s">
        <v>37</v>
      </c>
      <c r="D910" t="s">
        <v>18</v>
      </c>
      <c r="E910" t="s">
        <v>19</v>
      </c>
      <c r="F910">
        <v>26</v>
      </c>
    </row>
    <row r="911" spans="1:6" x14ac:dyDescent="0.25">
      <c r="A911" t="s">
        <v>1651</v>
      </c>
      <c r="B911" t="s">
        <v>1506</v>
      </c>
      <c r="C911" t="s">
        <v>37</v>
      </c>
      <c r="D911" t="s">
        <v>29</v>
      </c>
      <c r="E911" t="s">
        <v>24</v>
      </c>
      <c r="F911">
        <v>20</v>
      </c>
    </row>
    <row r="912" spans="1:6" x14ac:dyDescent="0.25">
      <c r="A912" t="s">
        <v>1652</v>
      </c>
      <c r="B912" t="s">
        <v>1653</v>
      </c>
      <c r="C912" t="s">
        <v>17</v>
      </c>
      <c r="D912" t="s">
        <v>29</v>
      </c>
      <c r="E912" t="s">
        <v>19</v>
      </c>
      <c r="F912">
        <v>42</v>
      </c>
    </row>
    <row r="913" spans="1:6" x14ac:dyDescent="0.25">
      <c r="A913" t="s">
        <v>1654</v>
      </c>
      <c r="B913" t="s">
        <v>1655</v>
      </c>
      <c r="C913" t="s">
        <v>17</v>
      </c>
      <c r="D913" t="s">
        <v>23</v>
      </c>
      <c r="E913" t="s">
        <v>19</v>
      </c>
      <c r="F913">
        <v>51</v>
      </c>
    </row>
    <row r="914" spans="1:6" x14ac:dyDescent="0.25">
      <c r="A914" t="s">
        <v>1656</v>
      </c>
      <c r="B914" t="s">
        <v>1578</v>
      </c>
      <c r="C914" t="s">
        <v>37</v>
      </c>
      <c r="D914" t="s">
        <v>29</v>
      </c>
      <c r="E914" t="s">
        <v>19</v>
      </c>
      <c r="F914">
        <v>29</v>
      </c>
    </row>
    <row r="915" spans="1:6" x14ac:dyDescent="0.25">
      <c r="A915" t="s">
        <v>1657</v>
      </c>
      <c r="B915" t="s">
        <v>1161</v>
      </c>
      <c r="C915" t="s">
        <v>32</v>
      </c>
      <c r="D915" t="s">
        <v>29</v>
      </c>
      <c r="E915" t="s">
        <v>24</v>
      </c>
      <c r="F915">
        <v>59</v>
      </c>
    </row>
    <row r="916" spans="1:6" x14ac:dyDescent="0.25">
      <c r="A916" t="s">
        <v>1658</v>
      </c>
      <c r="B916" t="s">
        <v>1659</v>
      </c>
      <c r="C916" t="s">
        <v>17</v>
      </c>
      <c r="D916" t="s">
        <v>23</v>
      </c>
      <c r="E916" t="s">
        <v>24</v>
      </c>
      <c r="F916">
        <v>26</v>
      </c>
    </row>
    <row r="917" spans="1:6" x14ac:dyDescent="0.25">
      <c r="A917" t="s">
        <v>1660</v>
      </c>
      <c r="B917" t="s">
        <v>1552</v>
      </c>
      <c r="C917" t="s">
        <v>17</v>
      </c>
      <c r="D917" t="s">
        <v>23</v>
      </c>
      <c r="E917" t="s">
        <v>24</v>
      </c>
      <c r="F917">
        <v>32</v>
      </c>
    </row>
    <row r="918" spans="1:6" x14ac:dyDescent="0.25">
      <c r="A918" t="s">
        <v>1661</v>
      </c>
      <c r="B918" t="s">
        <v>1662</v>
      </c>
      <c r="C918" t="s">
        <v>32</v>
      </c>
      <c r="D918" t="s">
        <v>23</v>
      </c>
      <c r="E918" t="s">
        <v>24</v>
      </c>
      <c r="F918">
        <v>57</v>
      </c>
    </row>
    <row r="919" spans="1:6" x14ac:dyDescent="0.25">
      <c r="A919" t="s">
        <v>1663</v>
      </c>
      <c r="B919" t="s">
        <v>1664</v>
      </c>
      <c r="C919" t="s">
        <v>32</v>
      </c>
      <c r="D919" t="s">
        <v>18</v>
      </c>
      <c r="E919" t="s">
        <v>24</v>
      </c>
      <c r="F919">
        <v>42</v>
      </c>
    </row>
    <row r="920" spans="1:6" x14ac:dyDescent="0.25">
      <c r="A920" t="s">
        <v>1665</v>
      </c>
      <c r="B920" t="s">
        <v>1666</v>
      </c>
      <c r="C920" t="s">
        <v>32</v>
      </c>
      <c r="D920" t="s">
        <v>23</v>
      </c>
      <c r="E920" t="s">
        <v>24</v>
      </c>
      <c r="F920">
        <v>22</v>
      </c>
    </row>
    <row r="921" spans="1:6" x14ac:dyDescent="0.25">
      <c r="A921" t="s">
        <v>1667</v>
      </c>
      <c r="B921" t="s">
        <v>1188</v>
      </c>
      <c r="C921" t="s">
        <v>37</v>
      </c>
      <c r="D921" t="s">
        <v>29</v>
      </c>
      <c r="E921" t="s">
        <v>24</v>
      </c>
      <c r="F921">
        <v>28</v>
      </c>
    </row>
    <row r="922" spans="1:6" x14ac:dyDescent="0.25">
      <c r="A922" t="s">
        <v>1668</v>
      </c>
      <c r="B922" t="s">
        <v>1669</v>
      </c>
      <c r="C922" t="s">
        <v>22</v>
      </c>
      <c r="D922" t="s">
        <v>18</v>
      </c>
      <c r="E922" t="s">
        <v>19</v>
      </c>
      <c r="F922">
        <v>51</v>
      </c>
    </row>
    <row r="923" spans="1:6" x14ac:dyDescent="0.25">
      <c r="A923" t="s">
        <v>1670</v>
      </c>
      <c r="B923" t="s">
        <v>846</v>
      </c>
      <c r="C923" t="s">
        <v>22</v>
      </c>
      <c r="D923" t="s">
        <v>23</v>
      </c>
      <c r="E923" t="s">
        <v>19</v>
      </c>
      <c r="F923">
        <v>41</v>
      </c>
    </row>
    <row r="924" spans="1:6" x14ac:dyDescent="0.25">
      <c r="A924" t="s">
        <v>1671</v>
      </c>
      <c r="B924" t="s">
        <v>500</v>
      </c>
      <c r="C924" t="s">
        <v>22</v>
      </c>
      <c r="D924" t="s">
        <v>23</v>
      </c>
      <c r="E924" t="s">
        <v>19</v>
      </c>
      <c r="F924">
        <v>32</v>
      </c>
    </row>
    <row r="925" spans="1:6" x14ac:dyDescent="0.25">
      <c r="A925" t="s">
        <v>1672</v>
      </c>
      <c r="B925" t="s">
        <v>1496</v>
      </c>
      <c r="C925" t="s">
        <v>22</v>
      </c>
      <c r="D925" t="s">
        <v>29</v>
      </c>
      <c r="E925" t="s">
        <v>19</v>
      </c>
      <c r="F925">
        <v>55</v>
      </c>
    </row>
    <row r="926" spans="1:6" x14ac:dyDescent="0.25">
      <c r="A926" t="s">
        <v>1673</v>
      </c>
      <c r="B926" t="s">
        <v>1674</v>
      </c>
      <c r="C926" t="s">
        <v>17</v>
      </c>
      <c r="D926" t="s">
        <v>23</v>
      </c>
      <c r="E926" t="s">
        <v>19</v>
      </c>
      <c r="F926">
        <v>25</v>
      </c>
    </row>
    <row r="927" spans="1:6" x14ac:dyDescent="0.25">
      <c r="A927" t="s">
        <v>1675</v>
      </c>
      <c r="B927" t="s">
        <v>690</v>
      </c>
      <c r="C927" t="s">
        <v>17</v>
      </c>
      <c r="D927" t="s">
        <v>29</v>
      </c>
      <c r="E927" t="s">
        <v>19</v>
      </c>
      <c r="F927">
        <v>22</v>
      </c>
    </row>
    <row r="928" spans="1:6" x14ac:dyDescent="0.25">
      <c r="A928" t="s">
        <v>1676</v>
      </c>
      <c r="B928" t="s">
        <v>862</v>
      </c>
      <c r="C928" t="s">
        <v>22</v>
      </c>
      <c r="D928" t="s">
        <v>29</v>
      </c>
      <c r="E928" t="s">
        <v>19</v>
      </c>
      <c r="F928">
        <v>43</v>
      </c>
    </row>
    <row r="929" spans="1:6" x14ac:dyDescent="0.25">
      <c r="A929" t="s">
        <v>1677</v>
      </c>
      <c r="B929" t="s">
        <v>1678</v>
      </c>
      <c r="C929" t="s">
        <v>32</v>
      </c>
      <c r="D929" t="s">
        <v>29</v>
      </c>
      <c r="E929" t="s">
        <v>24</v>
      </c>
      <c r="F929">
        <v>35</v>
      </c>
    </row>
    <row r="930" spans="1:6" x14ac:dyDescent="0.25">
      <c r="A930" t="s">
        <v>1679</v>
      </c>
      <c r="B930" t="s">
        <v>407</v>
      </c>
      <c r="C930" t="s">
        <v>17</v>
      </c>
      <c r="D930" t="s">
        <v>23</v>
      </c>
      <c r="E930" t="s">
        <v>24</v>
      </c>
      <c r="F930">
        <v>23</v>
      </c>
    </row>
    <row r="931" spans="1:6" x14ac:dyDescent="0.25">
      <c r="A931" t="s">
        <v>1680</v>
      </c>
      <c r="B931" t="s">
        <v>856</v>
      </c>
      <c r="C931" t="s">
        <v>22</v>
      </c>
      <c r="D931" t="s">
        <v>29</v>
      </c>
      <c r="E931" t="s">
        <v>19</v>
      </c>
      <c r="F931">
        <v>54</v>
      </c>
    </row>
    <row r="932" spans="1:6" x14ac:dyDescent="0.25">
      <c r="A932" t="s">
        <v>1681</v>
      </c>
      <c r="B932" t="s">
        <v>1682</v>
      </c>
      <c r="C932" t="s">
        <v>32</v>
      </c>
      <c r="D932" t="s">
        <v>29</v>
      </c>
      <c r="E932" t="s">
        <v>19</v>
      </c>
      <c r="F932">
        <v>30</v>
      </c>
    </row>
    <row r="933" spans="1:6" x14ac:dyDescent="0.25">
      <c r="A933" t="s">
        <v>1683</v>
      </c>
      <c r="B933" t="s">
        <v>1684</v>
      </c>
      <c r="C933" t="s">
        <v>32</v>
      </c>
      <c r="D933" t="s">
        <v>23</v>
      </c>
      <c r="E933" t="s">
        <v>24</v>
      </c>
      <c r="F933">
        <v>45</v>
      </c>
    </row>
    <row r="934" spans="1:6" x14ac:dyDescent="0.25">
      <c r="A934" t="s">
        <v>1685</v>
      </c>
      <c r="B934" t="s">
        <v>1686</v>
      </c>
      <c r="C934" t="s">
        <v>32</v>
      </c>
      <c r="D934" t="s">
        <v>29</v>
      </c>
      <c r="E934" t="s">
        <v>19</v>
      </c>
      <c r="F934">
        <v>22</v>
      </c>
    </row>
    <row r="935" spans="1:6" x14ac:dyDescent="0.25">
      <c r="A935" t="s">
        <v>1687</v>
      </c>
      <c r="B935" t="s">
        <v>1688</v>
      </c>
      <c r="C935" t="s">
        <v>37</v>
      </c>
      <c r="D935" t="s">
        <v>18</v>
      </c>
      <c r="E935" t="s">
        <v>19</v>
      </c>
      <c r="F935">
        <v>30</v>
      </c>
    </row>
    <row r="936" spans="1:6" x14ac:dyDescent="0.25">
      <c r="A936" t="s">
        <v>1689</v>
      </c>
      <c r="B936" t="s">
        <v>385</v>
      </c>
      <c r="C936" t="s">
        <v>32</v>
      </c>
      <c r="D936" t="s">
        <v>29</v>
      </c>
      <c r="E936" t="s">
        <v>24</v>
      </c>
      <c r="F936">
        <v>34</v>
      </c>
    </row>
    <row r="937" spans="1:6" x14ac:dyDescent="0.25">
      <c r="A937" t="s">
        <v>1690</v>
      </c>
      <c r="B937" t="s">
        <v>1691</v>
      </c>
      <c r="C937" t="s">
        <v>17</v>
      </c>
      <c r="D937" t="s">
        <v>23</v>
      </c>
      <c r="E937" t="s">
        <v>19</v>
      </c>
      <c r="F937">
        <v>57</v>
      </c>
    </row>
    <row r="938" spans="1:6" x14ac:dyDescent="0.25">
      <c r="A938" t="s">
        <v>1692</v>
      </c>
      <c r="B938" t="s">
        <v>1122</v>
      </c>
      <c r="C938" t="s">
        <v>22</v>
      </c>
      <c r="D938" t="s">
        <v>23</v>
      </c>
      <c r="E938" t="s">
        <v>24</v>
      </c>
      <c r="F938">
        <v>62</v>
      </c>
    </row>
    <row r="939" spans="1:6" x14ac:dyDescent="0.25">
      <c r="A939" t="s">
        <v>1693</v>
      </c>
      <c r="B939" t="s">
        <v>1694</v>
      </c>
      <c r="C939" t="s">
        <v>32</v>
      </c>
      <c r="D939" t="s">
        <v>23</v>
      </c>
      <c r="E939" t="s">
        <v>19</v>
      </c>
      <c r="F939">
        <v>49</v>
      </c>
    </row>
    <row r="940" spans="1:6" x14ac:dyDescent="0.25">
      <c r="A940" t="s">
        <v>1695</v>
      </c>
      <c r="B940" t="s">
        <v>379</v>
      </c>
      <c r="C940" t="s">
        <v>17</v>
      </c>
      <c r="D940" t="s">
        <v>23</v>
      </c>
      <c r="E940" t="s">
        <v>24</v>
      </c>
      <c r="F940">
        <v>46</v>
      </c>
    </row>
    <row r="941" spans="1:6" x14ac:dyDescent="0.25">
      <c r="A941" t="s">
        <v>1696</v>
      </c>
      <c r="B941" t="s">
        <v>1345</v>
      </c>
      <c r="C941" t="s">
        <v>17</v>
      </c>
      <c r="D941" t="s">
        <v>23</v>
      </c>
      <c r="E941" t="s">
        <v>24</v>
      </c>
      <c r="F941">
        <v>20</v>
      </c>
    </row>
    <row r="942" spans="1:6" x14ac:dyDescent="0.25">
      <c r="A942" t="s">
        <v>1697</v>
      </c>
      <c r="B942" t="s">
        <v>1698</v>
      </c>
      <c r="C942" t="s">
        <v>17</v>
      </c>
      <c r="D942" t="s">
        <v>18</v>
      </c>
      <c r="E942" t="s">
        <v>24</v>
      </c>
      <c r="F942">
        <v>57</v>
      </c>
    </row>
    <row r="943" spans="1:6" x14ac:dyDescent="0.25">
      <c r="A943" t="s">
        <v>1699</v>
      </c>
      <c r="B943" t="s">
        <v>107</v>
      </c>
      <c r="C943" t="s">
        <v>22</v>
      </c>
      <c r="D943" t="s">
        <v>23</v>
      </c>
      <c r="E943" t="s">
        <v>19</v>
      </c>
      <c r="F943">
        <v>51</v>
      </c>
    </row>
    <row r="944" spans="1:6" x14ac:dyDescent="0.25">
      <c r="A944" t="s">
        <v>1700</v>
      </c>
      <c r="B944" t="s">
        <v>1701</v>
      </c>
      <c r="C944" t="s">
        <v>22</v>
      </c>
      <c r="D944" t="s">
        <v>18</v>
      </c>
      <c r="E944" t="s">
        <v>24</v>
      </c>
      <c r="F944">
        <v>57</v>
      </c>
    </row>
    <row r="945" spans="1:6" x14ac:dyDescent="0.25">
      <c r="A945" t="s">
        <v>1702</v>
      </c>
      <c r="B945" t="s">
        <v>1703</v>
      </c>
      <c r="C945" t="s">
        <v>17</v>
      </c>
      <c r="D945" t="s">
        <v>23</v>
      </c>
      <c r="E945" t="s">
        <v>19</v>
      </c>
      <c r="F945">
        <v>44</v>
      </c>
    </row>
    <row r="946" spans="1:6" x14ac:dyDescent="0.25">
      <c r="A946" t="s">
        <v>1704</v>
      </c>
      <c r="B946" t="s">
        <v>1705</v>
      </c>
      <c r="C946" t="s">
        <v>37</v>
      </c>
      <c r="D946" t="s">
        <v>23</v>
      </c>
      <c r="E946" t="s">
        <v>19</v>
      </c>
      <c r="F946">
        <v>30</v>
      </c>
    </row>
    <row r="947" spans="1:6" x14ac:dyDescent="0.25">
      <c r="A947" t="s">
        <v>1706</v>
      </c>
      <c r="B947" t="s">
        <v>1707</v>
      </c>
      <c r="C947" t="s">
        <v>37</v>
      </c>
      <c r="D947" t="s">
        <v>23</v>
      </c>
      <c r="E947" t="s">
        <v>19</v>
      </c>
      <c r="F947">
        <v>62</v>
      </c>
    </row>
    <row r="948" spans="1:6" x14ac:dyDescent="0.25">
      <c r="A948" t="s">
        <v>1708</v>
      </c>
      <c r="B948" t="s">
        <v>1403</v>
      </c>
      <c r="C948" t="s">
        <v>17</v>
      </c>
      <c r="D948" t="s">
        <v>23</v>
      </c>
      <c r="E948" t="s">
        <v>19</v>
      </c>
      <c r="F948">
        <v>50</v>
      </c>
    </row>
    <row r="949" spans="1:6" x14ac:dyDescent="0.25">
      <c r="A949" t="s">
        <v>1709</v>
      </c>
      <c r="B949" t="s">
        <v>1100</v>
      </c>
      <c r="C949" t="s">
        <v>37</v>
      </c>
      <c r="D949" t="s">
        <v>29</v>
      </c>
      <c r="E949" t="s">
        <v>24</v>
      </c>
      <c r="F949">
        <v>23</v>
      </c>
    </row>
    <row r="950" spans="1:6" x14ac:dyDescent="0.25">
      <c r="A950" t="s">
        <v>1710</v>
      </c>
      <c r="B950" t="s">
        <v>1711</v>
      </c>
      <c r="C950" t="s">
        <v>17</v>
      </c>
      <c r="D950" t="s">
        <v>18</v>
      </c>
      <c r="E950" t="s">
        <v>24</v>
      </c>
      <c r="F950">
        <v>41</v>
      </c>
    </row>
    <row r="951" spans="1:6" x14ac:dyDescent="0.25">
      <c r="A951" t="s">
        <v>1712</v>
      </c>
      <c r="B951" t="s">
        <v>1397</v>
      </c>
      <c r="C951" t="s">
        <v>37</v>
      </c>
      <c r="D951" t="s">
        <v>18</v>
      </c>
      <c r="E951" t="s">
        <v>19</v>
      </c>
      <c r="F951">
        <v>36</v>
      </c>
    </row>
    <row r="952" spans="1:6" x14ac:dyDescent="0.25">
      <c r="A952" t="s">
        <v>1713</v>
      </c>
      <c r="B952" t="s">
        <v>1714</v>
      </c>
      <c r="C952" t="s">
        <v>37</v>
      </c>
      <c r="D952" t="s">
        <v>23</v>
      </c>
      <c r="E952" t="s">
        <v>19</v>
      </c>
      <c r="F952">
        <v>33</v>
      </c>
    </row>
    <row r="953" spans="1:6" x14ac:dyDescent="0.25">
      <c r="A953" t="s">
        <v>1715</v>
      </c>
      <c r="B953" t="s">
        <v>1716</v>
      </c>
      <c r="C953" t="s">
        <v>17</v>
      </c>
      <c r="D953" t="s">
        <v>29</v>
      </c>
      <c r="E953" t="s">
        <v>24</v>
      </c>
      <c r="F953">
        <v>57</v>
      </c>
    </row>
    <row r="954" spans="1:6" x14ac:dyDescent="0.25">
      <c r="A954" t="s">
        <v>1717</v>
      </c>
      <c r="B954" t="s">
        <v>101</v>
      </c>
      <c r="C954" t="s">
        <v>32</v>
      </c>
      <c r="D954" t="s">
        <v>23</v>
      </c>
      <c r="E954" t="s">
        <v>19</v>
      </c>
      <c r="F954">
        <v>45</v>
      </c>
    </row>
    <row r="955" spans="1:6" x14ac:dyDescent="0.25">
      <c r="A955" t="s">
        <v>1718</v>
      </c>
      <c r="B955" t="s">
        <v>1719</v>
      </c>
      <c r="C955" t="s">
        <v>37</v>
      </c>
      <c r="D955" t="s">
        <v>18</v>
      </c>
      <c r="E955" t="s">
        <v>24</v>
      </c>
      <c r="F955">
        <v>50</v>
      </c>
    </row>
    <row r="956" spans="1:6" x14ac:dyDescent="0.25">
      <c r="A956" t="s">
        <v>1720</v>
      </c>
      <c r="B956" t="s">
        <v>1721</v>
      </c>
      <c r="C956" t="s">
        <v>37</v>
      </c>
      <c r="D956" t="s">
        <v>29</v>
      </c>
      <c r="E956" t="s">
        <v>19</v>
      </c>
      <c r="F956">
        <v>58</v>
      </c>
    </row>
    <row r="957" spans="1:6" x14ac:dyDescent="0.25">
      <c r="A957" t="s">
        <v>1722</v>
      </c>
      <c r="B957" t="s">
        <v>1723</v>
      </c>
      <c r="C957" t="s">
        <v>37</v>
      </c>
      <c r="D957" t="s">
        <v>23</v>
      </c>
      <c r="E957" t="s">
        <v>19</v>
      </c>
      <c r="F957">
        <v>30</v>
      </c>
    </row>
    <row r="958" spans="1:6" x14ac:dyDescent="0.25">
      <c r="A958" t="s">
        <v>1724</v>
      </c>
      <c r="B958" t="s">
        <v>1725</v>
      </c>
      <c r="C958" t="s">
        <v>32</v>
      </c>
      <c r="D958" t="s">
        <v>23</v>
      </c>
      <c r="E958" t="s">
        <v>24</v>
      </c>
      <c r="F958">
        <v>60</v>
      </c>
    </row>
    <row r="959" spans="1:6" x14ac:dyDescent="0.25">
      <c r="A959" t="s">
        <v>1726</v>
      </c>
      <c r="B959" t="s">
        <v>609</v>
      </c>
      <c r="C959" t="s">
        <v>17</v>
      </c>
      <c r="D959" t="s">
        <v>23</v>
      </c>
      <c r="E959" t="s">
        <v>19</v>
      </c>
      <c r="F959">
        <v>62</v>
      </c>
    </row>
    <row r="960" spans="1:6" x14ac:dyDescent="0.25">
      <c r="A960" t="s">
        <v>1727</v>
      </c>
      <c r="B960" t="s">
        <v>1728</v>
      </c>
      <c r="C960" t="s">
        <v>37</v>
      </c>
      <c r="D960" t="s">
        <v>23</v>
      </c>
      <c r="E960" t="s">
        <v>24</v>
      </c>
      <c r="F960">
        <v>42</v>
      </c>
    </row>
    <row r="961" spans="1:6" x14ac:dyDescent="0.25">
      <c r="A961" t="s">
        <v>1729</v>
      </c>
      <c r="B961" t="s">
        <v>1730</v>
      </c>
      <c r="C961" t="s">
        <v>32</v>
      </c>
      <c r="D961" t="s">
        <v>18</v>
      </c>
      <c r="E961" t="s">
        <v>19</v>
      </c>
      <c r="F961">
        <v>59</v>
      </c>
    </row>
    <row r="962" spans="1:6" x14ac:dyDescent="0.25">
      <c r="A962" t="s">
        <v>1731</v>
      </c>
      <c r="B962" t="s">
        <v>1732</v>
      </c>
      <c r="C962" t="s">
        <v>32</v>
      </c>
      <c r="D962" t="s">
        <v>29</v>
      </c>
      <c r="E962" t="s">
        <v>19</v>
      </c>
      <c r="F962">
        <v>53</v>
      </c>
    </row>
    <row r="963" spans="1:6" x14ac:dyDescent="0.25">
      <c r="A963" t="s">
        <v>1733</v>
      </c>
      <c r="B963" t="s">
        <v>1734</v>
      </c>
      <c r="C963" t="s">
        <v>22</v>
      </c>
      <c r="D963" t="s">
        <v>18</v>
      </c>
      <c r="E963" t="s">
        <v>19</v>
      </c>
      <c r="F963">
        <v>44</v>
      </c>
    </row>
    <row r="964" spans="1:6" x14ac:dyDescent="0.25">
      <c r="A964" t="s">
        <v>1735</v>
      </c>
      <c r="B964" t="s">
        <v>1736</v>
      </c>
      <c r="C964" t="s">
        <v>32</v>
      </c>
      <c r="D964" t="s">
        <v>23</v>
      </c>
      <c r="E964" t="s">
        <v>24</v>
      </c>
      <c r="F964">
        <v>55</v>
      </c>
    </row>
    <row r="965" spans="1:6" x14ac:dyDescent="0.25">
      <c r="A965" t="s">
        <v>1737</v>
      </c>
      <c r="B965" t="s">
        <v>527</v>
      </c>
      <c r="C965" t="s">
        <v>17</v>
      </c>
      <c r="D965" t="s">
        <v>29</v>
      </c>
      <c r="E965" t="s">
        <v>19</v>
      </c>
      <c r="F965">
        <v>24</v>
      </c>
    </row>
    <row r="966" spans="1:6" x14ac:dyDescent="0.25">
      <c r="A966" t="s">
        <v>1738</v>
      </c>
      <c r="B966" t="s">
        <v>1739</v>
      </c>
      <c r="C966" t="s">
        <v>32</v>
      </c>
      <c r="D966" t="s">
        <v>23</v>
      </c>
      <c r="E966" t="s">
        <v>19</v>
      </c>
      <c r="F966">
        <v>22</v>
      </c>
    </row>
    <row r="967" spans="1:6" x14ac:dyDescent="0.25">
      <c r="A967" t="s">
        <v>1740</v>
      </c>
      <c r="B967" t="s">
        <v>1741</v>
      </c>
      <c r="C967" t="s">
        <v>17</v>
      </c>
      <c r="D967" t="s">
        <v>29</v>
      </c>
      <c r="E967" t="s">
        <v>19</v>
      </c>
      <c r="F967">
        <v>60</v>
      </c>
    </row>
    <row r="968" spans="1:6" x14ac:dyDescent="0.25">
      <c r="A968" t="s">
        <v>1742</v>
      </c>
      <c r="B968" t="s">
        <v>1743</v>
      </c>
      <c r="C968" t="s">
        <v>32</v>
      </c>
      <c r="D968" t="s">
        <v>23</v>
      </c>
      <c r="E968" t="s">
        <v>19</v>
      </c>
      <c r="F968">
        <v>62</v>
      </c>
    </row>
    <row r="969" spans="1:6" x14ac:dyDescent="0.25">
      <c r="A969" t="s">
        <v>1744</v>
      </c>
      <c r="B969" t="s">
        <v>1745</v>
      </c>
      <c r="C969" t="s">
        <v>37</v>
      </c>
      <c r="D969" t="s">
        <v>23</v>
      </c>
      <c r="E969" t="s">
        <v>24</v>
      </c>
      <c r="F969">
        <v>48</v>
      </c>
    </row>
    <row r="970" spans="1:6" x14ac:dyDescent="0.25">
      <c r="A970" t="s">
        <v>1746</v>
      </c>
      <c r="B970" t="s">
        <v>1747</v>
      </c>
      <c r="C970" t="s">
        <v>22</v>
      </c>
      <c r="D970" t="s">
        <v>29</v>
      </c>
      <c r="E970" t="s">
        <v>24</v>
      </c>
      <c r="F970">
        <v>40</v>
      </c>
    </row>
    <row r="971" spans="1:6" x14ac:dyDescent="0.25">
      <c r="A971" t="s">
        <v>1748</v>
      </c>
      <c r="B971" t="s">
        <v>1749</v>
      </c>
      <c r="C971" t="s">
        <v>22</v>
      </c>
      <c r="D971" t="s">
        <v>23</v>
      </c>
      <c r="E971" t="s">
        <v>19</v>
      </c>
      <c r="F971">
        <v>59</v>
      </c>
    </row>
    <row r="972" spans="1:6" x14ac:dyDescent="0.25">
      <c r="A972" t="s">
        <v>1750</v>
      </c>
      <c r="B972" t="s">
        <v>1751</v>
      </c>
      <c r="C972" t="s">
        <v>22</v>
      </c>
      <c r="D972" t="s">
        <v>23</v>
      </c>
      <c r="E972" t="s">
        <v>24</v>
      </c>
      <c r="F972">
        <v>27</v>
      </c>
    </row>
    <row r="973" spans="1:6" x14ac:dyDescent="0.25">
      <c r="A973" t="s">
        <v>1752</v>
      </c>
      <c r="B973" t="s">
        <v>810</v>
      </c>
      <c r="C973" t="s">
        <v>37</v>
      </c>
      <c r="D973" t="s">
        <v>29</v>
      </c>
      <c r="E973" t="s">
        <v>19</v>
      </c>
      <c r="F973">
        <v>49</v>
      </c>
    </row>
    <row r="974" spans="1:6" x14ac:dyDescent="0.25">
      <c r="A974" t="s">
        <v>1753</v>
      </c>
      <c r="B974" t="s">
        <v>1754</v>
      </c>
      <c r="C974" t="s">
        <v>32</v>
      </c>
      <c r="D974" t="s">
        <v>23</v>
      </c>
      <c r="E974" t="s">
        <v>19</v>
      </c>
      <c r="F974">
        <v>60</v>
      </c>
    </row>
    <row r="975" spans="1:6" x14ac:dyDescent="0.25">
      <c r="A975" t="s">
        <v>1755</v>
      </c>
      <c r="B975" t="s">
        <v>1756</v>
      </c>
      <c r="C975" t="s">
        <v>22</v>
      </c>
      <c r="D975" t="s">
        <v>18</v>
      </c>
      <c r="E975" t="s">
        <v>19</v>
      </c>
      <c r="F975">
        <v>47</v>
      </c>
    </row>
    <row r="976" spans="1:6" x14ac:dyDescent="0.25">
      <c r="A976" t="s">
        <v>1757</v>
      </c>
      <c r="B976" t="s">
        <v>784</v>
      </c>
      <c r="C976" t="s">
        <v>17</v>
      </c>
      <c r="D976" t="s">
        <v>29</v>
      </c>
      <c r="E976" t="s">
        <v>24</v>
      </c>
      <c r="F976">
        <v>56</v>
      </c>
    </row>
    <row r="977" spans="1:6" x14ac:dyDescent="0.25">
      <c r="A977" t="s">
        <v>1758</v>
      </c>
      <c r="B977" t="s">
        <v>1759</v>
      </c>
      <c r="C977" t="s">
        <v>17</v>
      </c>
      <c r="D977" t="s">
        <v>18</v>
      </c>
      <c r="E977" t="s">
        <v>24</v>
      </c>
      <c r="F977">
        <v>48</v>
      </c>
    </row>
    <row r="978" spans="1:6" x14ac:dyDescent="0.25">
      <c r="A978" t="s">
        <v>1760</v>
      </c>
      <c r="B978" t="s">
        <v>93</v>
      </c>
      <c r="C978" t="s">
        <v>22</v>
      </c>
      <c r="D978" t="s">
        <v>29</v>
      </c>
      <c r="E978" t="s">
        <v>24</v>
      </c>
      <c r="F978">
        <v>35</v>
      </c>
    </row>
    <row r="979" spans="1:6" x14ac:dyDescent="0.25">
      <c r="A979" t="s">
        <v>1761</v>
      </c>
      <c r="B979" t="s">
        <v>928</v>
      </c>
      <c r="C979" t="s">
        <v>37</v>
      </c>
      <c r="D979" t="s">
        <v>29</v>
      </c>
      <c r="E979" t="s">
        <v>24</v>
      </c>
      <c r="F979">
        <v>53</v>
      </c>
    </row>
    <row r="980" spans="1:6" x14ac:dyDescent="0.25">
      <c r="A980" t="s">
        <v>1762</v>
      </c>
      <c r="B980" t="s">
        <v>1714</v>
      </c>
      <c r="C980" t="s">
        <v>32</v>
      </c>
      <c r="D980" t="s">
        <v>29</v>
      </c>
      <c r="E980" t="s">
        <v>24</v>
      </c>
      <c r="F980">
        <v>19</v>
      </c>
    </row>
    <row r="981" spans="1:6" x14ac:dyDescent="0.25">
      <c r="A981" t="s">
        <v>1763</v>
      </c>
      <c r="B981" t="s">
        <v>1764</v>
      </c>
      <c r="C981" t="s">
        <v>17</v>
      </c>
      <c r="D981" t="s">
        <v>18</v>
      </c>
      <c r="E981" t="s">
        <v>24</v>
      </c>
      <c r="F981">
        <v>31</v>
      </c>
    </row>
    <row r="982" spans="1:6" x14ac:dyDescent="0.25">
      <c r="A982" t="s">
        <v>1765</v>
      </c>
      <c r="B982" t="s">
        <v>1766</v>
      </c>
      <c r="C982" t="s">
        <v>37</v>
      </c>
      <c r="D982" t="s">
        <v>29</v>
      </c>
      <c r="E982" t="s">
        <v>24</v>
      </c>
      <c r="F982">
        <v>30</v>
      </c>
    </row>
    <row r="983" spans="1:6" x14ac:dyDescent="0.25">
      <c r="A983" t="s">
        <v>1767</v>
      </c>
      <c r="B983" t="s">
        <v>1768</v>
      </c>
      <c r="C983" t="s">
        <v>22</v>
      </c>
      <c r="D983" t="s">
        <v>23</v>
      </c>
      <c r="E983" t="s">
        <v>24</v>
      </c>
      <c r="F983">
        <v>46</v>
      </c>
    </row>
    <row r="984" spans="1:6" x14ac:dyDescent="0.25">
      <c r="A984" t="s">
        <v>1769</v>
      </c>
      <c r="B984" t="s">
        <v>864</v>
      </c>
      <c r="C984" t="s">
        <v>37</v>
      </c>
      <c r="D984" t="s">
        <v>23</v>
      </c>
      <c r="E984" t="s">
        <v>24</v>
      </c>
      <c r="F984">
        <v>29</v>
      </c>
    </row>
    <row r="985" spans="1:6" x14ac:dyDescent="0.25">
      <c r="A985" t="s">
        <v>1770</v>
      </c>
      <c r="B985" t="s">
        <v>77</v>
      </c>
      <c r="C985" t="s">
        <v>17</v>
      </c>
      <c r="D985" t="s">
        <v>29</v>
      </c>
      <c r="E985" t="s">
        <v>19</v>
      </c>
      <c r="F985">
        <v>56</v>
      </c>
    </row>
    <row r="986" spans="1:6" x14ac:dyDescent="0.25">
      <c r="A986" t="s">
        <v>1771</v>
      </c>
      <c r="B986" t="s">
        <v>1772</v>
      </c>
      <c r="C986" t="s">
        <v>32</v>
      </c>
      <c r="D986" t="s">
        <v>23</v>
      </c>
      <c r="E986" t="s">
        <v>24</v>
      </c>
      <c r="F986">
        <v>19</v>
      </c>
    </row>
    <row r="987" spans="1:6" x14ac:dyDescent="0.25">
      <c r="A987" t="s">
        <v>1773</v>
      </c>
      <c r="B987" t="s">
        <v>1774</v>
      </c>
      <c r="C987" t="s">
        <v>37</v>
      </c>
      <c r="D987" t="s">
        <v>23</v>
      </c>
      <c r="E987" t="s">
        <v>24</v>
      </c>
      <c r="F987">
        <v>49</v>
      </c>
    </row>
    <row r="988" spans="1:6" x14ac:dyDescent="0.25">
      <c r="A988" t="s">
        <v>1775</v>
      </c>
      <c r="B988" t="s">
        <v>1776</v>
      </c>
      <c r="C988" t="s">
        <v>17</v>
      </c>
      <c r="D988" t="s">
        <v>23</v>
      </c>
      <c r="E988" t="s">
        <v>24</v>
      </c>
      <c r="F988">
        <v>30</v>
      </c>
    </row>
    <row r="989" spans="1:6" x14ac:dyDescent="0.25">
      <c r="A989" t="s">
        <v>1777</v>
      </c>
      <c r="B989" t="s">
        <v>1778</v>
      </c>
      <c r="C989" t="s">
        <v>32</v>
      </c>
      <c r="D989" t="s">
        <v>29</v>
      </c>
      <c r="E989" t="s">
        <v>24</v>
      </c>
      <c r="F989">
        <v>63</v>
      </c>
    </row>
    <row r="990" spans="1:6" x14ac:dyDescent="0.25">
      <c r="A990" t="s">
        <v>1779</v>
      </c>
      <c r="B990" t="s">
        <v>1780</v>
      </c>
      <c r="C990" t="s">
        <v>37</v>
      </c>
      <c r="D990" t="s">
        <v>23</v>
      </c>
      <c r="E990" t="s">
        <v>24</v>
      </c>
      <c r="F990">
        <v>44</v>
      </c>
    </row>
    <row r="991" spans="1:6" x14ac:dyDescent="0.25">
      <c r="A991" t="s">
        <v>1781</v>
      </c>
      <c r="B991" t="s">
        <v>1782</v>
      </c>
      <c r="C991" t="s">
        <v>17</v>
      </c>
      <c r="D991" t="s">
        <v>29</v>
      </c>
      <c r="E991" t="s">
        <v>24</v>
      </c>
      <c r="F991">
        <v>58</v>
      </c>
    </row>
    <row r="992" spans="1:6" x14ac:dyDescent="0.25">
      <c r="A992" t="s">
        <v>1783</v>
      </c>
      <c r="B992" t="s">
        <v>1784</v>
      </c>
      <c r="C992" t="s">
        <v>17</v>
      </c>
      <c r="D992" t="s">
        <v>29</v>
      </c>
      <c r="E992" t="s">
        <v>24</v>
      </c>
      <c r="F992">
        <v>34</v>
      </c>
    </row>
    <row r="993" spans="1:6" x14ac:dyDescent="0.25">
      <c r="A993" t="s">
        <v>1785</v>
      </c>
      <c r="B993" t="s">
        <v>1786</v>
      </c>
      <c r="C993" t="s">
        <v>32</v>
      </c>
      <c r="D993" t="s">
        <v>18</v>
      </c>
      <c r="E993" t="s">
        <v>24</v>
      </c>
      <c r="F993">
        <v>57</v>
      </c>
    </row>
    <row r="994" spans="1:6" x14ac:dyDescent="0.25">
      <c r="A994" t="s">
        <v>1787</v>
      </c>
      <c r="B994" t="s">
        <v>483</v>
      </c>
      <c r="C994" t="s">
        <v>22</v>
      </c>
      <c r="D994" t="s">
        <v>23</v>
      </c>
      <c r="E994" t="s">
        <v>24</v>
      </c>
      <c r="F994">
        <v>48</v>
      </c>
    </row>
    <row r="995" spans="1:6" x14ac:dyDescent="0.25">
      <c r="A995" t="s">
        <v>1788</v>
      </c>
      <c r="B995" t="s">
        <v>1789</v>
      </c>
      <c r="C995" t="s">
        <v>17</v>
      </c>
      <c r="D995" t="s">
        <v>29</v>
      </c>
      <c r="E995" t="s">
        <v>24</v>
      </c>
      <c r="F995">
        <v>51</v>
      </c>
    </row>
    <row r="996" spans="1:6" x14ac:dyDescent="0.25">
      <c r="A996" t="s">
        <v>1790</v>
      </c>
      <c r="B996" t="s">
        <v>1791</v>
      </c>
      <c r="C996" t="s">
        <v>22</v>
      </c>
      <c r="D996" t="s">
        <v>29</v>
      </c>
      <c r="E996" t="s">
        <v>24</v>
      </c>
      <c r="F996">
        <v>41</v>
      </c>
    </row>
    <row r="997" spans="1:6" x14ac:dyDescent="0.25">
      <c r="A997" t="s">
        <v>1792</v>
      </c>
      <c r="B997" t="s">
        <v>1793</v>
      </c>
      <c r="C997" t="s">
        <v>32</v>
      </c>
      <c r="D997" t="s">
        <v>23</v>
      </c>
      <c r="E997" t="s">
        <v>19</v>
      </c>
      <c r="F997">
        <v>62</v>
      </c>
    </row>
    <row r="998" spans="1:6" x14ac:dyDescent="0.25">
      <c r="A998" t="s">
        <v>1794</v>
      </c>
      <c r="B998" t="s">
        <v>1795</v>
      </c>
      <c r="C998" t="s">
        <v>22</v>
      </c>
      <c r="D998" t="s">
        <v>29</v>
      </c>
      <c r="E998" t="s">
        <v>19</v>
      </c>
      <c r="F998">
        <v>52</v>
      </c>
    </row>
    <row r="999" spans="1:6" x14ac:dyDescent="0.25">
      <c r="A999" t="s">
        <v>1796</v>
      </c>
      <c r="B999" t="s">
        <v>1797</v>
      </c>
      <c r="C999" t="s">
        <v>22</v>
      </c>
      <c r="D999" t="s">
        <v>23</v>
      </c>
      <c r="E999" t="s">
        <v>24</v>
      </c>
      <c r="F999">
        <v>23</v>
      </c>
    </row>
    <row r="1000" spans="1:6" x14ac:dyDescent="0.25">
      <c r="A1000" t="s">
        <v>1798</v>
      </c>
      <c r="B1000" t="s">
        <v>1486</v>
      </c>
      <c r="C1000" t="s">
        <v>37</v>
      </c>
      <c r="D1000" t="s">
        <v>18</v>
      </c>
      <c r="E1000" t="s">
        <v>24</v>
      </c>
      <c r="F1000">
        <v>36</v>
      </c>
    </row>
    <row r="1001" spans="1:6" x14ac:dyDescent="0.25">
      <c r="A1001" t="s">
        <v>1799</v>
      </c>
      <c r="B1001" t="s">
        <v>1800</v>
      </c>
      <c r="C1001" t="s">
        <v>32</v>
      </c>
      <c r="D1001" t="s">
        <v>23</v>
      </c>
      <c r="E1001" t="s">
        <v>19</v>
      </c>
      <c r="F1001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4" width="15" customWidth="1"/>
  </cols>
  <sheetData>
    <row r="1" spans="1:14" x14ac:dyDescent="0.25">
      <c r="A1" s="8" t="s">
        <v>1801</v>
      </c>
      <c r="B1" s="8" t="s">
        <v>1802</v>
      </c>
      <c r="C1" s="8" t="s">
        <v>9</v>
      </c>
      <c r="D1" s="8" t="s">
        <v>1803</v>
      </c>
      <c r="E1" s="8" t="s">
        <v>1804</v>
      </c>
      <c r="F1" s="8" t="s">
        <v>1805</v>
      </c>
      <c r="G1" s="8" t="s">
        <v>1806</v>
      </c>
      <c r="H1" s="8" t="s">
        <v>1807</v>
      </c>
      <c r="I1" s="8" t="s">
        <v>1808</v>
      </c>
      <c r="J1" s="8" t="s">
        <v>1809</v>
      </c>
      <c r="K1" s="8" t="s">
        <v>1810</v>
      </c>
      <c r="L1" s="8" t="s">
        <v>10</v>
      </c>
      <c r="M1" s="8" t="s">
        <v>11</v>
      </c>
      <c r="N1" s="8" t="s">
        <v>12</v>
      </c>
    </row>
    <row r="2" spans="1:14" x14ac:dyDescent="0.25">
      <c r="A2">
        <v>1</v>
      </c>
      <c r="B2" t="s">
        <v>1811</v>
      </c>
      <c r="C2" t="s">
        <v>15</v>
      </c>
      <c r="D2" t="s">
        <v>1812</v>
      </c>
      <c r="E2">
        <v>3</v>
      </c>
      <c r="F2">
        <v>50</v>
      </c>
      <c r="G2">
        <v>150</v>
      </c>
      <c r="H2" s="9">
        <v>0.15</v>
      </c>
      <c r="I2">
        <v>20.82</v>
      </c>
      <c r="J2" s="10">
        <f t="shared" ref="J2:J65" si="0">MONTH(B2)</f>
        <v>11</v>
      </c>
      <c r="K2" s="11">
        <f t="shared" ref="K2:K65" si="1">IF(G2=0,0,I2/G2)</f>
        <v>0.13880000000000001</v>
      </c>
      <c r="L2" t="str">
        <f>VLOOKUP(C2,Customers!$A$2:$F$1001,2,FALSE())</f>
        <v>John Walker</v>
      </c>
      <c r="M2" t="str">
        <f>VLOOKUP(C2,Customers!$A$2:$F$1001,3,FALSE())</f>
        <v>North</v>
      </c>
      <c r="N2" t="str">
        <f>VLOOKUP(C2,Customers!$A$2:$F$1001,4,FALSE())</f>
        <v>Home Office</v>
      </c>
    </row>
    <row r="3" spans="1:14" x14ac:dyDescent="0.25">
      <c r="A3">
        <v>2</v>
      </c>
      <c r="B3" t="s">
        <v>1813</v>
      </c>
      <c r="C3" t="s">
        <v>20</v>
      </c>
      <c r="D3" t="s">
        <v>1814</v>
      </c>
      <c r="E3">
        <v>2</v>
      </c>
      <c r="F3">
        <v>500</v>
      </c>
      <c r="G3">
        <v>1000</v>
      </c>
      <c r="H3" s="9">
        <v>0.1</v>
      </c>
      <c r="I3">
        <v>85.1</v>
      </c>
      <c r="J3" s="10">
        <f t="shared" si="0"/>
        <v>2</v>
      </c>
      <c r="K3" s="11">
        <f t="shared" si="1"/>
        <v>8.5099999999999995E-2</v>
      </c>
      <c r="L3" t="str">
        <f>VLOOKUP(C3,Customers!$A$2:$F$1001,2,FALSE())</f>
        <v>Steven Moore</v>
      </c>
      <c r="M3" t="str">
        <f>VLOOKUP(C3,Customers!$A$2:$F$1001,3,FALSE())</f>
        <v>South</v>
      </c>
      <c r="N3" t="str">
        <f>VLOOKUP(C3,Customers!$A$2:$F$1001,4,FALSE())</f>
        <v>Consumer</v>
      </c>
    </row>
    <row r="4" spans="1:14" x14ac:dyDescent="0.25">
      <c r="A4">
        <v>3</v>
      </c>
      <c r="B4" t="s">
        <v>1815</v>
      </c>
      <c r="C4" t="s">
        <v>25</v>
      </c>
      <c r="D4" t="s">
        <v>1816</v>
      </c>
      <c r="E4">
        <v>1</v>
      </c>
      <c r="F4">
        <v>30</v>
      </c>
      <c r="G4">
        <v>30</v>
      </c>
      <c r="H4" s="9">
        <v>0</v>
      </c>
      <c r="I4">
        <v>5.72</v>
      </c>
      <c r="J4" s="10">
        <f t="shared" si="0"/>
        <v>1</v>
      </c>
      <c r="K4" s="11">
        <f t="shared" si="1"/>
        <v>0.19066666666666665</v>
      </c>
      <c r="L4" t="str">
        <f>VLOOKUP(C4,Customers!$A$2:$F$1001,2,FALSE())</f>
        <v>Nancy Wright</v>
      </c>
      <c r="M4" t="str">
        <f>VLOOKUP(C4,Customers!$A$2:$F$1001,3,FALSE())</f>
        <v>North</v>
      </c>
      <c r="N4" t="str">
        <f>VLOOKUP(C4,Customers!$A$2:$F$1001,4,FALSE())</f>
        <v>Home Office</v>
      </c>
    </row>
    <row r="5" spans="1:14" x14ac:dyDescent="0.25">
      <c r="A5">
        <v>4</v>
      </c>
      <c r="B5" t="s">
        <v>1817</v>
      </c>
      <c r="C5" t="s">
        <v>27</v>
      </c>
      <c r="D5" t="s">
        <v>1814</v>
      </c>
      <c r="E5">
        <v>1</v>
      </c>
      <c r="F5">
        <v>500</v>
      </c>
      <c r="G5">
        <v>500</v>
      </c>
      <c r="H5" s="9">
        <v>0.1</v>
      </c>
      <c r="I5">
        <v>101.34</v>
      </c>
      <c r="J5" s="10">
        <f t="shared" si="0"/>
        <v>5</v>
      </c>
      <c r="K5" s="11">
        <f t="shared" si="1"/>
        <v>0.20268</v>
      </c>
      <c r="L5" t="str">
        <f>VLOOKUP(C5,Customers!$A$2:$F$1001,2,FALSE())</f>
        <v>John Ramirez</v>
      </c>
      <c r="M5" t="str">
        <f>VLOOKUP(C5,Customers!$A$2:$F$1001,3,FALSE())</f>
        <v>North</v>
      </c>
      <c r="N5" t="str">
        <f>VLOOKUP(C5,Customers!$A$2:$F$1001,4,FALSE())</f>
        <v>Corporate</v>
      </c>
    </row>
    <row r="6" spans="1:14" x14ac:dyDescent="0.25">
      <c r="A6">
        <v>5</v>
      </c>
      <c r="B6" t="s">
        <v>1818</v>
      </c>
      <c r="C6" t="s">
        <v>30</v>
      </c>
      <c r="D6" t="s">
        <v>1812</v>
      </c>
      <c r="E6">
        <v>2</v>
      </c>
      <c r="F6">
        <v>50</v>
      </c>
      <c r="G6">
        <v>100</v>
      </c>
      <c r="H6" s="9">
        <v>0</v>
      </c>
      <c r="I6">
        <v>33.57</v>
      </c>
      <c r="J6" s="10">
        <f t="shared" si="0"/>
        <v>5</v>
      </c>
      <c r="K6" s="11">
        <f t="shared" si="1"/>
        <v>0.3357</v>
      </c>
      <c r="L6" t="str">
        <f>VLOOKUP(C6,Customers!$A$2:$F$1001,2,FALSE())</f>
        <v>William Brown</v>
      </c>
      <c r="M6" t="str">
        <f>VLOOKUP(C6,Customers!$A$2:$F$1001,3,FALSE())</f>
        <v>East</v>
      </c>
      <c r="N6" t="str">
        <f>VLOOKUP(C6,Customers!$A$2:$F$1001,4,FALSE())</f>
        <v>Consumer</v>
      </c>
    </row>
    <row r="7" spans="1:14" x14ac:dyDescent="0.25">
      <c r="A7">
        <v>6</v>
      </c>
      <c r="B7" t="s">
        <v>1819</v>
      </c>
      <c r="C7" t="s">
        <v>33</v>
      </c>
      <c r="D7" t="s">
        <v>1812</v>
      </c>
      <c r="E7">
        <v>1</v>
      </c>
      <c r="F7">
        <v>30</v>
      </c>
      <c r="G7">
        <v>30</v>
      </c>
      <c r="H7" s="9">
        <v>0.15</v>
      </c>
      <c r="I7">
        <v>3.91</v>
      </c>
      <c r="J7" s="10">
        <f t="shared" si="0"/>
        <v>4</v>
      </c>
      <c r="K7" s="11">
        <f t="shared" si="1"/>
        <v>0.13033333333333333</v>
      </c>
      <c r="L7" t="str">
        <f>VLOOKUP(C7,Customers!$A$2:$F$1001,2,FALSE())</f>
        <v>Anthony Flores</v>
      </c>
      <c r="M7" t="str">
        <f>VLOOKUP(C7,Customers!$A$2:$F$1001,3,FALSE())</f>
        <v>South</v>
      </c>
      <c r="N7" t="str">
        <f>VLOOKUP(C7,Customers!$A$2:$F$1001,4,FALSE())</f>
        <v>Home Office</v>
      </c>
    </row>
    <row r="8" spans="1:14" x14ac:dyDescent="0.25">
      <c r="A8">
        <v>7</v>
      </c>
      <c r="B8" t="s">
        <v>1820</v>
      </c>
      <c r="C8" t="s">
        <v>35</v>
      </c>
      <c r="D8" t="s">
        <v>1814</v>
      </c>
      <c r="E8">
        <v>2</v>
      </c>
      <c r="F8">
        <v>25</v>
      </c>
      <c r="G8">
        <v>50</v>
      </c>
      <c r="H8" s="9">
        <v>0.1</v>
      </c>
      <c r="I8">
        <v>3.14</v>
      </c>
      <c r="J8" s="10">
        <f t="shared" si="0"/>
        <v>3</v>
      </c>
      <c r="K8" s="11">
        <f t="shared" si="1"/>
        <v>6.2800000000000009E-2</v>
      </c>
      <c r="L8" t="str">
        <f>VLOOKUP(C8,Customers!$A$2:$F$1001,2,FALSE())</f>
        <v>Andrew Walker</v>
      </c>
      <c r="M8" t="str">
        <f>VLOOKUP(C8,Customers!$A$2:$F$1001,3,FALSE())</f>
        <v>West</v>
      </c>
      <c r="N8" t="str">
        <f>VLOOKUP(C8,Customers!$A$2:$F$1001,4,FALSE())</f>
        <v>Consumer</v>
      </c>
    </row>
    <row r="9" spans="1:14" x14ac:dyDescent="0.25">
      <c r="A9">
        <v>8</v>
      </c>
      <c r="B9" t="s">
        <v>1821</v>
      </c>
      <c r="C9" t="s">
        <v>38</v>
      </c>
      <c r="D9" t="s">
        <v>1816</v>
      </c>
      <c r="E9">
        <v>4</v>
      </c>
      <c r="F9">
        <v>25</v>
      </c>
      <c r="G9">
        <v>100</v>
      </c>
      <c r="H9" s="9">
        <v>0</v>
      </c>
      <c r="I9">
        <v>14.27</v>
      </c>
      <c r="J9" s="10">
        <f t="shared" si="0"/>
        <v>2</v>
      </c>
      <c r="K9" s="11">
        <f t="shared" si="1"/>
        <v>0.14269999999999999</v>
      </c>
      <c r="L9" t="str">
        <f>VLOOKUP(C9,Customers!$A$2:$F$1001,2,FALSE())</f>
        <v>Emily Young</v>
      </c>
      <c r="M9" t="str">
        <f>VLOOKUP(C9,Customers!$A$2:$F$1001,3,FALSE())</f>
        <v>South</v>
      </c>
      <c r="N9" t="str">
        <f>VLOOKUP(C9,Customers!$A$2:$F$1001,4,FALSE())</f>
        <v>Consumer</v>
      </c>
    </row>
    <row r="10" spans="1:14" x14ac:dyDescent="0.25">
      <c r="A10">
        <v>9</v>
      </c>
      <c r="B10" t="s">
        <v>1822</v>
      </c>
      <c r="C10" t="s">
        <v>40</v>
      </c>
      <c r="D10" t="s">
        <v>1816</v>
      </c>
      <c r="E10">
        <v>2</v>
      </c>
      <c r="F10">
        <v>300</v>
      </c>
      <c r="G10">
        <v>600</v>
      </c>
      <c r="H10" s="9">
        <v>0</v>
      </c>
      <c r="I10">
        <v>84.31</v>
      </c>
      <c r="J10" s="10">
        <f t="shared" si="0"/>
        <v>12</v>
      </c>
      <c r="K10" s="11">
        <f t="shared" si="1"/>
        <v>0.14051666666666668</v>
      </c>
      <c r="L10" t="str">
        <f>VLOOKUP(C10,Customers!$A$2:$F$1001,2,FALSE())</f>
        <v>Margaret Garcia</v>
      </c>
      <c r="M10" t="str">
        <f>VLOOKUP(C10,Customers!$A$2:$F$1001,3,FALSE())</f>
        <v>East</v>
      </c>
      <c r="N10" t="str">
        <f>VLOOKUP(C10,Customers!$A$2:$F$1001,4,FALSE())</f>
        <v>Consumer</v>
      </c>
    </row>
    <row r="11" spans="1:14" x14ac:dyDescent="0.25">
      <c r="A11">
        <v>10</v>
      </c>
      <c r="B11" t="s">
        <v>1823</v>
      </c>
      <c r="C11" t="s">
        <v>42</v>
      </c>
      <c r="D11" t="s">
        <v>1814</v>
      </c>
      <c r="E11">
        <v>4</v>
      </c>
      <c r="F11">
        <v>50</v>
      </c>
      <c r="G11">
        <v>200</v>
      </c>
      <c r="H11" s="9">
        <v>0.15</v>
      </c>
      <c r="I11">
        <v>10.09</v>
      </c>
      <c r="J11" s="10">
        <f t="shared" si="0"/>
        <v>10</v>
      </c>
      <c r="K11" s="11">
        <f t="shared" si="1"/>
        <v>5.0450000000000002E-2</v>
      </c>
      <c r="L11" t="str">
        <f>VLOOKUP(C11,Customers!$A$2:$F$1001,2,FALSE())</f>
        <v>Dorothy Jackson</v>
      </c>
      <c r="M11" t="str">
        <f>VLOOKUP(C11,Customers!$A$2:$F$1001,3,FALSE())</f>
        <v>South</v>
      </c>
      <c r="N11" t="str">
        <f>VLOOKUP(C11,Customers!$A$2:$F$1001,4,FALSE())</f>
        <v>Corporate</v>
      </c>
    </row>
    <row r="12" spans="1:14" x14ac:dyDescent="0.25">
      <c r="A12">
        <v>11</v>
      </c>
      <c r="B12" t="s">
        <v>1824</v>
      </c>
      <c r="C12" t="s">
        <v>44</v>
      </c>
      <c r="D12" t="s">
        <v>1814</v>
      </c>
      <c r="E12">
        <v>2</v>
      </c>
      <c r="F12">
        <v>50</v>
      </c>
      <c r="G12">
        <v>100</v>
      </c>
      <c r="H12" s="9">
        <v>0</v>
      </c>
      <c r="I12">
        <v>25.66</v>
      </c>
      <c r="J12" s="10">
        <f t="shared" si="0"/>
        <v>2</v>
      </c>
      <c r="K12" s="11">
        <f t="shared" si="1"/>
        <v>0.25659999999999999</v>
      </c>
      <c r="L12" t="str">
        <f>VLOOKUP(C12,Customers!$A$2:$F$1001,2,FALSE())</f>
        <v>Margaret Anderson</v>
      </c>
      <c r="M12" t="str">
        <f>VLOOKUP(C12,Customers!$A$2:$F$1001,3,FALSE())</f>
        <v>East</v>
      </c>
      <c r="N12" t="str">
        <f>VLOOKUP(C12,Customers!$A$2:$F$1001,4,FALSE())</f>
        <v>Consumer</v>
      </c>
    </row>
    <row r="13" spans="1:14" x14ac:dyDescent="0.25">
      <c r="A13">
        <v>12</v>
      </c>
      <c r="B13" t="s">
        <v>1825</v>
      </c>
      <c r="C13" t="s">
        <v>46</v>
      </c>
      <c r="D13" t="s">
        <v>1812</v>
      </c>
      <c r="E13">
        <v>3</v>
      </c>
      <c r="F13">
        <v>25</v>
      </c>
      <c r="G13">
        <v>75</v>
      </c>
      <c r="H13" s="9">
        <v>0.2</v>
      </c>
      <c r="I13">
        <v>9.14</v>
      </c>
      <c r="J13" s="10">
        <f t="shared" si="0"/>
        <v>10</v>
      </c>
      <c r="K13" s="11">
        <f t="shared" si="1"/>
        <v>0.12186666666666668</v>
      </c>
      <c r="L13" t="str">
        <f>VLOOKUP(C13,Customers!$A$2:$F$1001,2,FALSE())</f>
        <v>Elizabeth Nguyen</v>
      </c>
      <c r="M13" t="str">
        <f>VLOOKUP(C13,Customers!$A$2:$F$1001,3,FALSE())</f>
        <v>East</v>
      </c>
      <c r="N13" t="str">
        <f>VLOOKUP(C13,Customers!$A$2:$F$1001,4,FALSE())</f>
        <v>Consumer</v>
      </c>
    </row>
    <row r="14" spans="1:14" x14ac:dyDescent="0.25">
      <c r="A14">
        <v>13</v>
      </c>
      <c r="B14" t="s">
        <v>1826</v>
      </c>
      <c r="C14" t="s">
        <v>48</v>
      </c>
      <c r="D14" t="s">
        <v>1816</v>
      </c>
      <c r="E14">
        <v>3</v>
      </c>
      <c r="F14">
        <v>500</v>
      </c>
      <c r="G14">
        <v>1500</v>
      </c>
      <c r="H14" s="9">
        <v>0.15</v>
      </c>
      <c r="I14">
        <v>-30.46</v>
      </c>
      <c r="J14" s="10">
        <f t="shared" si="0"/>
        <v>8</v>
      </c>
      <c r="K14" s="11">
        <f t="shared" si="1"/>
        <v>-2.0306666666666667E-2</v>
      </c>
      <c r="L14" t="str">
        <f>VLOOKUP(C14,Customers!$A$2:$F$1001,2,FALSE())</f>
        <v>Michelle Sanchez</v>
      </c>
      <c r="M14" t="str">
        <f>VLOOKUP(C14,Customers!$A$2:$F$1001,3,FALSE())</f>
        <v>South</v>
      </c>
      <c r="N14" t="str">
        <f>VLOOKUP(C14,Customers!$A$2:$F$1001,4,FALSE())</f>
        <v>Consumer</v>
      </c>
    </row>
    <row r="15" spans="1:14" x14ac:dyDescent="0.25">
      <c r="A15">
        <v>14</v>
      </c>
      <c r="B15" t="s">
        <v>1827</v>
      </c>
      <c r="C15" t="s">
        <v>50</v>
      </c>
      <c r="D15" t="s">
        <v>1814</v>
      </c>
      <c r="E15">
        <v>4</v>
      </c>
      <c r="F15">
        <v>30</v>
      </c>
      <c r="G15">
        <v>120</v>
      </c>
      <c r="H15" s="9">
        <v>0.1</v>
      </c>
      <c r="I15">
        <v>14.46</v>
      </c>
      <c r="J15" s="10">
        <f t="shared" si="0"/>
        <v>1</v>
      </c>
      <c r="K15" s="11">
        <f t="shared" si="1"/>
        <v>0.12050000000000001</v>
      </c>
      <c r="L15" t="str">
        <f>VLOOKUP(C15,Customers!$A$2:$F$1001,2,FALSE())</f>
        <v>Christopher Allen</v>
      </c>
      <c r="M15" t="str">
        <f>VLOOKUP(C15,Customers!$A$2:$F$1001,3,FALSE())</f>
        <v>West</v>
      </c>
      <c r="N15" t="str">
        <f>VLOOKUP(C15,Customers!$A$2:$F$1001,4,FALSE())</f>
        <v>Consumer</v>
      </c>
    </row>
    <row r="16" spans="1:14" x14ac:dyDescent="0.25">
      <c r="A16">
        <v>15</v>
      </c>
      <c r="B16" t="s">
        <v>1828</v>
      </c>
      <c r="C16" t="s">
        <v>52</v>
      </c>
      <c r="D16" t="s">
        <v>1816</v>
      </c>
      <c r="E16">
        <v>4</v>
      </c>
      <c r="F16">
        <v>500</v>
      </c>
      <c r="G16">
        <v>2000</v>
      </c>
      <c r="H16" s="9">
        <v>0</v>
      </c>
      <c r="I16">
        <v>233.9</v>
      </c>
      <c r="J16" s="10">
        <f t="shared" si="0"/>
        <v>1</v>
      </c>
      <c r="K16" s="11">
        <f t="shared" si="1"/>
        <v>0.11695</v>
      </c>
      <c r="L16" t="str">
        <f>VLOOKUP(C16,Customers!$A$2:$F$1001,2,FALSE())</f>
        <v>Betty Moore</v>
      </c>
      <c r="M16" t="str">
        <f>VLOOKUP(C16,Customers!$A$2:$F$1001,3,FALSE())</f>
        <v>South</v>
      </c>
      <c r="N16" t="str">
        <f>VLOOKUP(C16,Customers!$A$2:$F$1001,4,FALSE())</f>
        <v>Consumer</v>
      </c>
    </row>
    <row r="17" spans="1:14" x14ac:dyDescent="0.25">
      <c r="A17">
        <v>16</v>
      </c>
      <c r="B17" t="s">
        <v>1829</v>
      </c>
      <c r="C17" t="s">
        <v>54</v>
      </c>
      <c r="D17" t="s">
        <v>1814</v>
      </c>
      <c r="E17">
        <v>3</v>
      </c>
      <c r="F17">
        <v>500</v>
      </c>
      <c r="G17">
        <v>1500</v>
      </c>
      <c r="H17" s="9">
        <v>0.1</v>
      </c>
      <c r="I17">
        <v>224.96</v>
      </c>
      <c r="J17" s="10">
        <f t="shared" si="0"/>
        <v>2</v>
      </c>
      <c r="K17" s="11">
        <f t="shared" si="1"/>
        <v>0.14997333333333335</v>
      </c>
      <c r="L17" t="str">
        <f>VLOOKUP(C17,Customers!$A$2:$F$1001,2,FALSE())</f>
        <v>Daniel Martinez</v>
      </c>
      <c r="M17" t="str">
        <f>VLOOKUP(C17,Customers!$A$2:$F$1001,3,FALSE())</f>
        <v>North</v>
      </c>
      <c r="N17" t="str">
        <f>VLOOKUP(C17,Customers!$A$2:$F$1001,4,FALSE())</f>
        <v>Corporate</v>
      </c>
    </row>
    <row r="18" spans="1:14" x14ac:dyDescent="0.25">
      <c r="A18">
        <v>17</v>
      </c>
      <c r="B18" t="s">
        <v>1830</v>
      </c>
      <c r="C18" t="s">
        <v>56</v>
      </c>
      <c r="D18" t="s">
        <v>1814</v>
      </c>
      <c r="E18">
        <v>4</v>
      </c>
      <c r="F18">
        <v>25</v>
      </c>
      <c r="G18">
        <v>100</v>
      </c>
      <c r="H18" s="9">
        <v>0.2</v>
      </c>
      <c r="I18">
        <v>1.04</v>
      </c>
      <c r="J18" s="10">
        <f t="shared" si="0"/>
        <v>4</v>
      </c>
      <c r="K18" s="11">
        <f t="shared" si="1"/>
        <v>1.04E-2</v>
      </c>
      <c r="L18" t="str">
        <f>VLOOKUP(C18,Customers!$A$2:$F$1001,2,FALSE())</f>
        <v>John Thompson</v>
      </c>
      <c r="M18" t="str">
        <f>VLOOKUP(C18,Customers!$A$2:$F$1001,3,FALSE())</f>
        <v>East</v>
      </c>
      <c r="N18" t="str">
        <f>VLOOKUP(C18,Customers!$A$2:$F$1001,4,FALSE())</f>
        <v>Consumer</v>
      </c>
    </row>
    <row r="19" spans="1:14" x14ac:dyDescent="0.25">
      <c r="A19">
        <v>18</v>
      </c>
      <c r="B19" t="s">
        <v>1831</v>
      </c>
      <c r="C19" t="s">
        <v>58</v>
      </c>
      <c r="D19" t="s">
        <v>1816</v>
      </c>
      <c r="E19">
        <v>2</v>
      </c>
      <c r="F19">
        <v>25</v>
      </c>
      <c r="G19">
        <v>50</v>
      </c>
      <c r="H19" s="9">
        <v>0</v>
      </c>
      <c r="I19">
        <v>8.83</v>
      </c>
      <c r="J19" s="10">
        <f t="shared" si="0"/>
        <v>4</v>
      </c>
      <c r="K19" s="11">
        <f t="shared" si="1"/>
        <v>0.17660000000000001</v>
      </c>
      <c r="L19" t="str">
        <f>VLOOKUP(C19,Customers!$A$2:$F$1001,2,FALSE())</f>
        <v>Brian Williams</v>
      </c>
      <c r="M19" t="str">
        <f>VLOOKUP(C19,Customers!$A$2:$F$1001,3,FALSE())</f>
        <v>West</v>
      </c>
      <c r="N19" t="str">
        <f>VLOOKUP(C19,Customers!$A$2:$F$1001,4,FALSE())</f>
        <v>Consumer</v>
      </c>
    </row>
    <row r="20" spans="1:14" x14ac:dyDescent="0.25">
      <c r="A20">
        <v>19</v>
      </c>
      <c r="B20" t="s">
        <v>1832</v>
      </c>
      <c r="C20" t="s">
        <v>60</v>
      </c>
      <c r="D20" t="s">
        <v>1814</v>
      </c>
      <c r="E20">
        <v>2</v>
      </c>
      <c r="F20">
        <v>25</v>
      </c>
      <c r="G20">
        <v>50</v>
      </c>
      <c r="H20" s="9">
        <v>0.05</v>
      </c>
      <c r="I20">
        <v>10.69</v>
      </c>
      <c r="J20" s="10">
        <f t="shared" si="0"/>
        <v>9</v>
      </c>
      <c r="K20" s="11">
        <f t="shared" si="1"/>
        <v>0.21379999999999999</v>
      </c>
      <c r="L20" t="str">
        <f>VLOOKUP(C20,Customers!$A$2:$F$1001,2,FALSE())</f>
        <v>Kevin King</v>
      </c>
      <c r="M20" t="str">
        <f>VLOOKUP(C20,Customers!$A$2:$F$1001,3,FALSE())</f>
        <v>North</v>
      </c>
      <c r="N20" t="str">
        <f>VLOOKUP(C20,Customers!$A$2:$F$1001,4,FALSE())</f>
        <v>Corporate</v>
      </c>
    </row>
    <row r="21" spans="1:14" x14ac:dyDescent="0.25">
      <c r="A21">
        <v>20</v>
      </c>
      <c r="B21" t="s">
        <v>1833</v>
      </c>
      <c r="C21" t="s">
        <v>62</v>
      </c>
      <c r="D21" t="s">
        <v>1814</v>
      </c>
      <c r="E21">
        <v>3</v>
      </c>
      <c r="F21">
        <v>300</v>
      </c>
      <c r="G21">
        <v>900</v>
      </c>
      <c r="H21" s="9">
        <v>0</v>
      </c>
      <c r="I21">
        <v>186.61</v>
      </c>
      <c r="J21" s="10">
        <f t="shared" si="0"/>
        <v>11</v>
      </c>
      <c r="K21" s="11">
        <f t="shared" si="1"/>
        <v>0.20734444444444447</v>
      </c>
      <c r="L21" t="str">
        <f>VLOOKUP(C21,Customers!$A$2:$F$1001,2,FALSE())</f>
        <v>Susan Sanchez</v>
      </c>
      <c r="M21" t="str">
        <f>VLOOKUP(C21,Customers!$A$2:$F$1001,3,FALSE())</f>
        <v>South</v>
      </c>
      <c r="N21" t="str">
        <f>VLOOKUP(C21,Customers!$A$2:$F$1001,4,FALSE())</f>
        <v>Consumer</v>
      </c>
    </row>
    <row r="22" spans="1:14" x14ac:dyDescent="0.25">
      <c r="A22">
        <v>21</v>
      </c>
      <c r="B22" t="s">
        <v>1834</v>
      </c>
      <c r="C22" t="s">
        <v>64</v>
      </c>
      <c r="D22" t="s">
        <v>1812</v>
      </c>
      <c r="E22">
        <v>1</v>
      </c>
      <c r="F22">
        <v>500</v>
      </c>
      <c r="G22">
        <v>500</v>
      </c>
      <c r="H22" s="9">
        <v>0.05</v>
      </c>
      <c r="I22">
        <v>123.49</v>
      </c>
      <c r="J22" s="10">
        <f t="shared" si="0"/>
        <v>1</v>
      </c>
      <c r="K22" s="11">
        <f t="shared" si="1"/>
        <v>0.24697999999999998</v>
      </c>
      <c r="L22" t="str">
        <f>VLOOKUP(C22,Customers!$A$2:$F$1001,2,FALSE())</f>
        <v>David Walker</v>
      </c>
      <c r="M22" t="str">
        <f>VLOOKUP(C22,Customers!$A$2:$F$1001,3,FALSE())</f>
        <v>West</v>
      </c>
      <c r="N22" t="str">
        <f>VLOOKUP(C22,Customers!$A$2:$F$1001,4,FALSE())</f>
        <v>Corporate</v>
      </c>
    </row>
    <row r="23" spans="1:14" x14ac:dyDescent="0.25">
      <c r="A23">
        <v>22</v>
      </c>
      <c r="B23" t="s">
        <v>1835</v>
      </c>
      <c r="C23" t="s">
        <v>66</v>
      </c>
      <c r="D23" t="s">
        <v>1814</v>
      </c>
      <c r="E23">
        <v>2</v>
      </c>
      <c r="F23">
        <v>50</v>
      </c>
      <c r="G23">
        <v>100</v>
      </c>
      <c r="H23" s="9">
        <v>0.1</v>
      </c>
      <c r="I23">
        <v>10.73</v>
      </c>
      <c r="J23" s="10">
        <f t="shared" si="0"/>
        <v>10</v>
      </c>
      <c r="K23" s="11">
        <f t="shared" si="1"/>
        <v>0.10730000000000001</v>
      </c>
      <c r="L23" t="str">
        <f>VLOOKUP(C23,Customers!$A$2:$F$1001,2,FALSE())</f>
        <v>Emily Anderson</v>
      </c>
      <c r="M23" t="str">
        <f>VLOOKUP(C23,Customers!$A$2:$F$1001,3,FALSE())</f>
        <v>East</v>
      </c>
      <c r="N23" t="str">
        <f>VLOOKUP(C23,Customers!$A$2:$F$1001,4,FALSE())</f>
        <v>Consumer</v>
      </c>
    </row>
    <row r="24" spans="1:14" x14ac:dyDescent="0.25">
      <c r="A24">
        <v>23</v>
      </c>
      <c r="B24" t="s">
        <v>1836</v>
      </c>
      <c r="C24" t="s">
        <v>68</v>
      </c>
      <c r="D24" t="s">
        <v>1814</v>
      </c>
      <c r="E24">
        <v>4</v>
      </c>
      <c r="F24">
        <v>30</v>
      </c>
      <c r="G24">
        <v>120</v>
      </c>
      <c r="H24" s="9">
        <v>0.05</v>
      </c>
      <c r="I24">
        <v>19</v>
      </c>
      <c r="J24" s="10">
        <f t="shared" si="0"/>
        <v>4</v>
      </c>
      <c r="K24" s="11">
        <f t="shared" si="1"/>
        <v>0.15833333333333333</v>
      </c>
      <c r="L24" t="str">
        <f>VLOOKUP(C24,Customers!$A$2:$F$1001,2,FALSE())</f>
        <v>Patricia Hill</v>
      </c>
      <c r="M24" t="str">
        <f>VLOOKUP(C24,Customers!$A$2:$F$1001,3,FALSE())</f>
        <v>West</v>
      </c>
      <c r="N24" t="str">
        <f>VLOOKUP(C24,Customers!$A$2:$F$1001,4,FALSE())</f>
        <v>Consumer</v>
      </c>
    </row>
    <row r="25" spans="1:14" x14ac:dyDescent="0.25">
      <c r="A25">
        <v>24</v>
      </c>
      <c r="B25" t="s">
        <v>1837</v>
      </c>
      <c r="C25" t="s">
        <v>70</v>
      </c>
      <c r="D25" t="s">
        <v>1814</v>
      </c>
      <c r="E25">
        <v>1</v>
      </c>
      <c r="F25">
        <v>300</v>
      </c>
      <c r="G25">
        <v>300</v>
      </c>
      <c r="H25" s="9">
        <v>0.1</v>
      </c>
      <c r="I25">
        <v>45.8</v>
      </c>
      <c r="J25" s="10">
        <f t="shared" si="0"/>
        <v>11</v>
      </c>
      <c r="K25" s="11">
        <f t="shared" si="1"/>
        <v>0.15266666666666664</v>
      </c>
      <c r="L25" t="str">
        <f>VLOOKUP(C25,Customers!$A$2:$F$1001,2,FALSE())</f>
        <v>Daniel Scott</v>
      </c>
      <c r="M25" t="str">
        <f>VLOOKUP(C25,Customers!$A$2:$F$1001,3,FALSE())</f>
        <v>East</v>
      </c>
      <c r="N25" t="str">
        <f>VLOOKUP(C25,Customers!$A$2:$F$1001,4,FALSE())</f>
        <v>Consumer</v>
      </c>
    </row>
    <row r="26" spans="1:14" x14ac:dyDescent="0.25">
      <c r="A26">
        <v>25</v>
      </c>
      <c r="B26" t="s">
        <v>1838</v>
      </c>
      <c r="C26" t="s">
        <v>72</v>
      </c>
      <c r="D26" t="s">
        <v>1812</v>
      </c>
      <c r="E26">
        <v>1</v>
      </c>
      <c r="F26">
        <v>50</v>
      </c>
      <c r="G26">
        <v>50</v>
      </c>
      <c r="H26" s="9">
        <v>0.05</v>
      </c>
      <c r="I26">
        <v>15.03</v>
      </c>
      <c r="J26" s="10">
        <f t="shared" si="0"/>
        <v>12</v>
      </c>
      <c r="K26" s="11">
        <f t="shared" si="1"/>
        <v>0.30059999999999998</v>
      </c>
      <c r="L26" t="str">
        <f>VLOOKUP(C26,Customers!$A$2:$F$1001,2,FALSE())</f>
        <v>Kimberly Young</v>
      </c>
      <c r="M26" t="str">
        <f>VLOOKUP(C26,Customers!$A$2:$F$1001,3,FALSE())</f>
        <v>East</v>
      </c>
      <c r="N26" t="str">
        <f>VLOOKUP(C26,Customers!$A$2:$F$1001,4,FALSE())</f>
        <v>Consumer</v>
      </c>
    </row>
    <row r="27" spans="1:14" x14ac:dyDescent="0.25">
      <c r="A27">
        <v>26</v>
      </c>
      <c r="B27" t="s">
        <v>1823</v>
      </c>
      <c r="C27" t="s">
        <v>74</v>
      </c>
      <c r="D27" t="s">
        <v>1816</v>
      </c>
      <c r="E27">
        <v>2</v>
      </c>
      <c r="F27">
        <v>500</v>
      </c>
      <c r="G27">
        <v>1000</v>
      </c>
      <c r="H27" s="9">
        <v>0</v>
      </c>
      <c r="I27">
        <v>182.98</v>
      </c>
      <c r="J27" s="10">
        <f t="shared" si="0"/>
        <v>10</v>
      </c>
      <c r="K27" s="11">
        <f t="shared" si="1"/>
        <v>0.18297999999999998</v>
      </c>
      <c r="L27" t="str">
        <f>VLOOKUP(C27,Customers!$A$2:$F$1001,2,FALSE())</f>
        <v>Donna Davis</v>
      </c>
      <c r="M27" t="str">
        <f>VLOOKUP(C27,Customers!$A$2:$F$1001,3,FALSE())</f>
        <v>South</v>
      </c>
      <c r="N27" t="str">
        <f>VLOOKUP(C27,Customers!$A$2:$F$1001,4,FALSE())</f>
        <v>Consumer</v>
      </c>
    </row>
    <row r="28" spans="1:14" x14ac:dyDescent="0.25">
      <c r="A28">
        <v>27</v>
      </c>
      <c r="B28" t="s">
        <v>1839</v>
      </c>
      <c r="C28" t="s">
        <v>76</v>
      </c>
      <c r="D28" t="s">
        <v>1812</v>
      </c>
      <c r="E28">
        <v>2</v>
      </c>
      <c r="F28">
        <v>25</v>
      </c>
      <c r="G28">
        <v>50</v>
      </c>
      <c r="H28" s="9">
        <v>0</v>
      </c>
      <c r="I28">
        <v>18.09</v>
      </c>
      <c r="J28" s="10">
        <f t="shared" si="0"/>
        <v>8</v>
      </c>
      <c r="K28" s="11">
        <f t="shared" si="1"/>
        <v>0.36180000000000001</v>
      </c>
      <c r="L28" t="str">
        <f>VLOOKUP(C28,Customers!$A$2:$F$1001,2,FALSE())</f>
        <v>Charles Jackson</v>
      </c>
      <c r="M28" t="str">
        <f>VLOOKUP(C28,Customers!$A$2:$F$1001,3,FALSE())</f>
        <v>West</v>
      </c>
      <c r="N28" t="str">
        <f>VLOOKUP(C28,Customers!$A$2:$F$1001,4,FALSE())</f>
        <v>Home Office</v>
      </c>
    </row>
    <row r="29" spans="1:14" x14ac:dyDescent="0.25">
      <c r="A29">
        <v>28</v>
      </c>
      <c r="B29" t="s">
        <v>1840</v>
      </c>
      <c r="C29" t="s">
        <v>78</v>
      </c>
      <c r="D29" t="s">
        <v>1812</v>
      </c>
      <c r="E29">
        <v>1</v>
      </c>
      <c r="F29">
        <v>500</v>
      </c>
      <c r="G29">
        <v>500</v>
      </c>
      <c r="H29" s="9">
        <v>0.15</v>
      </c>
      <c r="I29">
        <v>88.13</v>
      </c>
      <c r="J29" s="10">
        <f t="shared" si="0"/>
        <v>4</v>
      </c>
      <c r="K29" s="11">
        <f t="shared" si="1"/>
        <v>0.17626</v>
      </c>
      <c r="L29" t="str">
        <f>VLOOKUP(C29,Customers!$A$2:$F$1001,2,FALSE())</f>
        <v>Matthew Johnson</v>
      </c>
      <c r="M29" t="str">
        <f>VLOOKUP(C29,Customers!$A$2:$F$1001,3,FALSE())</f>
        <v>South</v>
      </c>
      <c r="N29" t="str">
        <f>VLOOKUP(C29,Customers!$A$2:$F$1001,4,FALSE())</f>
        <v>Consumer</v>
      </c>
    </row>
    <row r="30" spans="1:14" x14ac:dyDescent="0.25">
      <c r="A30">
        <v>29</v>
      </c>
      <c r="B30" t="s">
        <v>1841</v>
      </c>
      <c r="C30" t="s">
        <v>80</v>
      </c>
      <c r="D30" t="s">
        <v>1816</v>
      </c>
      <c r="E30">
        <v>1</v>
      </c>
      <c r="F30">
        <v>30</v>
      </c>
      <c r="G30">
        <v>30</v>
      </c>
      <c r="H30" s="9">
        <v>0.1</v>
      </c>
      <c r="I30">
        <v>1.98</v>
      </c>
      <c r="J30" s="10">
        <f t="shared" si="0"/>
        <v>8</v>
      </c>
      <c r="K30" s="11">
        <f t="shared" si="1"/>
        <v>6.6000000000000003E-2</v>
      </c>
      <c r="L30" t="str">
        <f>VLOOKUP(C30,Customers!$A$2:$F$1001,2,FALSE())</f>
        <v>Betty Miller</v>
      </c>
      <c r="M30" t="str">
        <f>VLOOKUP(C30,Customers!$A$2:$F$1001,3,FALSE())</f>
        <v>East</v>
      </c>
      <c r="N30" t="str">
        <f>VLOOKUP(C30,Customers!$A$2:$F$1001,4,FALSE())</f>
        <v>Corporate</v>
      </c>
    </row>
    <row r="31" spans="1:14" x14ac:dyDescent="0.25">
      <c r="A31">
        <v>30</v>
      </c>
      <c r="B31" t="s">
        <v>1842</v>
      </c>
      <c r="C31" t="s">
        <v>82</v>
      </c>
      <c r="D31" t="s">
        <v>1812</v>
      </c>
      <c r="E31">
        <v>3</v>
      </c>
      <c r="F31">
        <v>300</v>
      </c>
      <c r="G31">
        <v>900</v>
      </c>
      <c r="H31" s="9">
        <v>0.05</v>
      </c>
      <c r="I31">
        <v>273.68</v>
      </c>
      <c r="J31" s="10">
        <f t="shared" si="0"/>
        <v>10</v>
      </c>
      <c r="K31" s="11">
        <f t="shared" si="1"/>
        <v>0.30408888888888891</v>
      </c>
      <c r="L31" t="str">
        <f>VLOOKUP(C31,Customers!$A$2:$F$1001,2,FALSE())</f>
        <v>Donna Ramirez</v>
      </c>
      <c r="M31" t="str">
        <f>VLOOKUP(C31,Customers!$A$2:$F$1001,3,FALSE())</f>
        <v>South</v>
      </c>
      <c r="N31" t="str">
        <f>VLOOKUP(C31,Customers!$A$2:$F$1001,4,FALSE())</f>
        <v>Corporate</v>
      </c>
    </row>
    <row r="32" spans="1:14" x14ac:dyDescent="0.25">
      <c r="A32">
        <v>31</v>
      </c>
      <c r="B32" t="s">
        <v>1843</v>
      </c>
      <c r="C32" t="s">
        <v>84</v>
      </c>
      <c r="D32" t="s">
        <v>1816</v>
      </c>
      <c r="E32">
        <v>4</v>
      </c>
      <c r="F32">
        <v>300</v>
      </c>
      <c r="G32">
        <v>1200</v>
      </c>
      <c r="H32" s="9">
        <v>0.15</v>
      </c>
      <c r="I32">
        <v>-33.549999999999997</v>
      </c>
      <c r="J32" s="10">
        <f t="shared" si="0"/>
        <v>5</v>
      </c>
      <c r="K32" s="11">
        <f t="shared" si="1"/>
        <v>-2.7958333333333332E-2</v>
      </c>
      <c r="L32" t="str">
        <f>VLOOKUP(C32,Customers!$A$2:$F$1001,2,FALSE())</f>
        <v>George Robinson</v>
      </c>
      <c r="M32" t="str">
        <f>VLOOKUP(C32,Customers!$A$2:$F$1001,3,FALSE())</f>
        <v>East</v>
      </c>
      <c r="N32" t="str">
        <f>VLOOKUP(C32,Customers!$A$2:$F$1001,4,FALSE())</f>
        <v>Consumer</v>
      </c>
    </row>
    <row r="33" spans="1:14" x14ac:dyDescent="0.25">
      <c r="A33">
        <v>32</v>
      </c>
      <c r="B33" t="s">
        <v>1844</v>
      </c>
      <c r="C33" t="s">
        <v>86</v>
      </c>
      <c r="D33" t="s">
        <v>1812</v>
      </c>
      <c r="E33">
        <v>3</v>
      </c>
      <c r="F33">
        <v>30</v>
      </c>
      <c r="G33">
        <v>90</v>
      </c>
      <c r="H33" s="9">
        <v>0</v>
      </c>
      <c r="I33">
        <v>35.5</v>
      </c>
      <c r="J33" s="10">
        <f t="shared" si="0"/>
        <v>1</v>
      </c>
      <c r="K33" s="11">
        <f t="shared" si="1"/>
        <v>0.39444444444444443</v>
      </c>
      <c r="L33" t="str">
        <f>VLOOKUP(C33,Customers!$A$2:$F$1001,2,FALSE())</f>
        <v>Charles Hill</v>
      </c>
      <c r="M33" t="str">
        <f>VLOOKUP(C33,Customers!$A$2:$F$1001,3,FALSE())</f>
        <v>East</v>
      </c>
      <c r="N33" t="str">
        <f>VLOOKUP(C33,Customers!$A$2:$F$1001,4,FALSE())</f>
        <v>Corporate</v>
      </c>
    </row>
    <row r="34" spans="1:14" x14ac:dyDescent="0.25">
      <c r="A34">
        <v>33</v>
      </c>
      <c r="B34" t="s">
        <v>1845</v>
      </c>
      <c r="C34" t="s">
        <v>88</v>
      </c>
      <c r="D34" t="s">
        <v>1816</v>
      </c>
      <c r="E34">
        <v>2</v>
      </c>
      <c r="F34">
        <v>50</v>
      </c>
      <c r="G34">
        <v>100</v>
      </c>
      <c r="H34" s="9">
        <v>0</v>
      </c>
      <c r="I34">
        <v>15.35</v>
      </c>
      <c r="J34" s="10">
        <f t="shared" si="0"/>
        <v>3</v>
      </c>
      <c r="K34" s="11">
        <f t="shared" si="1"/>
        <v>0.1535</v>
      </c>
      <c r="L34" t="str">
        <f>VLOOKUP(C34,Customers!$A$2:$F$1001,2,FALSE())</f>
        <v>Christopher Wilson</v>
      </c>
      <c r="M34" t="str">
        <f>VLOOKUP(C34,Customers!$A$2:$F$1001,3,FALSE())</f>
        <v>South</v>
      </c>
      <c r="N34" t="str">
        <f>VLOOKUP(C34,Customers!$A$2:$F$1001,4,FALSE())</f>
        <v>Consumer</v>
      </c>
    </row>
    <row r="35" spans="1:14" x14ac:dyDescent="0.25">
      <c r="A35">
        <v>34</v>
      </c>
      <c r="B35" t="s">
        <v>1846</v>
      </c>
      <c r="C35" t="s">
        <v>90</v>
      </c>
      <c r="D35" t="s">
        <v>1814</v>
      </c>
      <c r="E35">
        <v>3</v>
      </c>
      <c r="F35">
        <v>50</v>
      </c>
      <c r="G35">
        <v>150</v>
      </c>
      <c r="H35" s="9">
        <v>0</v>
      </c>
      <c r="I35">
        <v>36.130000000000003</v>
      </c>
      <c r="J35" s="10">
        <f t="shared" si="0"/>
        <v>12</v>
      </c>
      <c r="K35" s="11">
        <f t="shared" si="1"/>
        <v>0.24086666666666667</v>
      </c>
      <c r="L35" t="str">
        <f>VLOOKUP(C35,Customers!$A$2:$F$1001,2,FALSE())</f>
        <v>Amanda Anderson</v>
      </c>
      <c r="M35" t="str">
        <f>VLOOKUP(C35,Customers!$A$2:$F$1001,3,FALSE())</f>
        <v>West</v>
      </c>
      <c r="N35" t="str">
        <f>VLOOKUP(C35,Customers!$A$2:$F$1001,4,FALSE())</f>
        <v>Consumer</v>
      </c>
    </row>
    <row r="36" spans="1:14" x14ac:dyDescent="0.25">
      <c r="A36">
        <v>35</v>
      </c>
      <c r="B36" t="s">
        <v>1826</v>
      </c>
      <c r="C36" t="s">
        <v>92</v>
      </c>
      <c r="D36" t="s">
        <v>1812</v>
      </c>
      <c r="E36">
        <v>3</v>
      </c>
      <c r="F36">
        <v>300</v>
      </c>
      <c r="G36">
        <v>900</v>
      </c>
      <c r="H36" s="9">
        <v>0.25</v>
      </c>
      <c r="I36">
        <v>22.38</v>
      </c>
      <c r="J36" s="10">
        <f t="shared" si="0"/>
        <v>8</v>
      </c>
      <c r="K36" s="11">
        <f t="shared" si="1"/>
        <v>2.4866666666666665E-2</v>
      </c>
      <c r="L36" t="str">
        <f>VLOOKUP(C36,Customers!$A$2:$F$1001,2,FALSE())</f>
        <v>Patricia Jackson</v>
      </c>
      <c r="M36" t="str">
        <f>VLOOKUP(C36,Customers!$A$2:$F$1001,3,FALSE())</f>
        <v>South</v>
      </c>
      <c r="N36" t="str">
        <f>VLOOKUP(C36,Customers!$A$2:$F$1001,4,FALSE())</f>
        <v>Consumer</v>
      </c>
    </row>
    <row r="37" spans="1:14" x14ac:dyDescent="0.25">
      <c r="A37">
        <v>36</v>
      </c>
      <c r="B37" t="s">
        <v>1847</v>
      </c>
      <c r="C37" t="s">
        <v>94</v>
      </c>
      <c r="D37" t="s">
        <v>1812</v>
      </c>
      <c r="E37">
        <v>3</v>
      </c>
      <c r="F37">
        <v>300</v>
      </c>
      <c r="G37">
        <v>900</v>
      </c>
      <c r="H37" s="9">
        <v>0.1</v>
      </c>
      <c r="I37">
        <v>225.98</v>
      </c>
      <c r="J37" s="10">
        <f t="shared" si="0"/>
        <v>6</v>
      </c>
      <c r="K37" s="11">
        <f t="shared" si="1"/>
        <v>0.25108888888888886</v>
      </c>
      <c r="L37" t="str">
        <f>VLOOKUP(C37,Customers!$A$2:$F$1001,2,FALSE())</f>
        <v>Michelle Davis</v>
      </c>
      <c r="M37" t="str">
        <f>VLOOKUP(C37,Customers!$A$2:$F$1001,3,FALSE())</f>
        <v>East</v>
      </c>
      <c r="N37" t="str">
        <f>VLOOKUP(C37,Customers!$A$2:$F$1001,4,FALSE())</f>
        <v>Corporate</v>
      </c>
    </row>
    <row r="38" spans="1:14" x14ac:dyDescent="0.25">
      <c r="A38">
        <v>37</v>
      </c>
      <c r="B38" t="s">
        <v>1843</v>
      </c>
      <c r="C38" t="s">
        <v>96</v>
      </c>
      <c r="D38" t="s">
        <v>1812</v>
      </c>
      <c r="E38">
        <v>3</v>
      </c>
      <c r="F38">
        <v>25</v>
      </c>
      <c r="G38">
        <v>75</v>
      </c>
      <c r="H38" s="9">
        <v>0.1</v>
      </c>
      <c r="I38">
        <v>20.03</v>
      </c>
      <c r="J38" s="10">
        <f t="shared" si="0"/>
        <v>5</v>
      </c>
      <c r="K38" s="11">
        <f t="shared" si="1"/>
        <v>0.26706666666666667</v>
      </c>
      <c r="L38" t="str">
        <f>VLOOKUP(C38,Customers!$A$2:$F$1001,2,FALSE())</f>
        <v>Lisa Garcia</v>
      </c>
      <c r="M38" t="str">
        <f>VLOOKUP(C38,Customers!$A$2:$F$1001,3,FALSE())</f>
        <v>South</v>
      </c>
      <c r="N38" t="str">
        <f>VLOOKUP(C38,Customers!$A$2:$F$1001,4,FALSE())</f>
        <v>Home Office</v>
      </c>
    </row>
    <row r="39" spans="1:14" x14ac:dyDescent="0.25">
      <c r="A39">
        <v>38</v>
      </c>
      <c r="B39" t="s">
        <v>1848</v>
      </c>
      <c r="C39" t="s">
        <v>98</v>
      </c>
      <c r="D39" t="s">
        <v>1812</v>
      </c>
      <c r="E39">
        <v>4</v>
      </c>
      <c r="F39">
        <v>50</v>
      </c>
      <c r="G39">
        <v>200</v>
      </c>
      <c r="H39" s="9">
        <v>0</v>
      </c>
      <c r="I39">
        <v>69.7</v>
      </c>
      <c r="J39" s="10">
        <f t="shared" si="0"/>
        <v>3</v>
      </c>
      <c r="K39" s="11">
        <f t="shared" si="1"/>
        <v>0.34850000000000003</v>
      </c>
      <c r="L39" t="str">
        <f>VLOOKUP(C39,Customers!$A$2:$F$1001,2,FALSE())</f>
        <v>Paul Martin</v>
      </c>
      <c r="M39" t="str">
        <f>VLOOKUP(C39,Customers!$A$2:$F$1001,3,FALSE())</f>
        <v>South</v>
      </c>
      <c r="N39" t="str">
        <f>VLOOKUP(C39,Customers!$A$2:$F$1001,4,FALSE())</f>
        <v>Consumer</v>
      </c>
    </row>
    <row r="40" spans="1:14" x14ac:dyDescent="0.25">
      <c r="A40">
        <v>39</v>
      </c>
      <c r="B40" t="s">
        <v>1849</v>
      </c>
      <c r="C40" t="s">
        <v>100</v>
      </c>
      <c r="D40" t="s">
        <v>1814</v>
      </c>
      <c r="E40">
        <v>4</v>
      </c>
      <c r="F40">
        <v>30</v>
      </c>
      <c r="G40">
        <v>120</v>
      </c>
      <c r="H40" s="9">
        <v>0</v>
      </c>
      <c r="I40">
        <v>34.71</v>
      </c>
      <c r="J40" s="10">
        <f t="shared" si="0"/>
        <v>4</v>
      </c>
      <c r="K40" s="11">
        <f t="shared" si="1"/>
        <v>0.28925000000000001</v>
      </c>
      <c r="L40" t="str">
        <f>VLOOKUP(C40,Customers!$A$2:$F$1001,2,FALSE())</f>
        <v>Thomas Martinez</v>
      </c>
      <c r="M40" t="str">
        <f>VLOOKUP(C40,Customers!$A$2:$F$1001,3,FALSE())</f>
        <v>South</v>
      </c>
      <c r="N40" t="str">
        <f>VLOOKUP(C40,Customers!$A$2:$F$1001,4,FALSE())</f>
        <v>Corporate</v>
      </c>
    </row>
    <row r="41" spans="1:14" x14ac:dyDescent="0.25">
      <c r="A41">
        <v>40</v>
      </c>
      <c r="B41" t="s">
        <v>1850</v>
      </c>
      <c r="C41" t="s">
        <v>102</v>
      </c>
      <c r="D41" t="s">
        <v>1812</v>
      </c>
      <c r="E41">
        <v>1</v>
      </c>
      <c r="F41">
        <v>50</v>
      </c>
      <c r="G41">
        <v>50</v>
      </c>
      <c r="H41" s="9">
        <v>0.1</v>
      </c>
      <c r="I41">
        <v>8.5399999999999991</v>
      </c>
      <c r="J41" s="10">
        <f t="shared" si="0"/>
        <v>6</v>
      </c>
      <c r="K41" s="11">
        <f t="shared" si="1"/>
        <v>0.17079999999999998</v>
      </c>
      <c r="L41" t="str">
        <f>VLOOKUP(C41,Customers!$A$2:$F$1001,2,FALSE())</f>
        <v>Mark Clark</v>
      </c>
      <c r="M41" t="str">
        <f>VLOOKUP(C41,Customers!$A$2:$F$1001,3,FALSE())</f>
        <v>North</v>
      </c>
      <c r="N41" t="str">
        <f>VLOOKUP(C41,Customers!$A$2:$F$1001,4,FALSE())</f>
        <v>Corporate</v>
      </c>
    </row>
    <row r="42" spans="1:14" x14ac:dyDescent="0.25">
      <c r="A42">
        <v>41</v>
      </c>
      <c r="B42" t="s">
        <v>1821</v>
      </c>
      <c r="C42" t="s">
        <v>104</v>
      </c>
      <c r="D42" t="s">
        <v>1814</v>
      </c>
      <c r="E42">
        <v>2</v>
      </c>
      <c r="F42">
        <v>25</v>
      </c>
      <c r="G42">
        <v>50</v>
      </c>
      <c r="H42" s="9">
        <v>0.05</v>
      </c>
      <c r="I42">
        <v>9.42</v>
      </c>
      <c r="J42" s="10">
        <f t="shared" si="0"/>
        <v>2</v>
      </c>
      <c r="K42" s="11">
        <f t="shared" si="1"/>
        <v>0.18840000000000001</v>
      </c>
      <c r="L42" t="str">
        <f>VLOOKUP(C42,Customers!$A$2:$F$1001,2,FALSE())</f>
        <v>Melissa Moore</v>
      </c>
      <c r="M42" t="str">
        <f>VLOOKUP(C42,Customers!$A$2:$F$1001,3,FALSE())</f>
        <v>North</v>
      </c>
      <c r="N42" t="str">
        <f>VLOOKUP(C42,Customers!$A$2:$F$1001,4,FALSE())</f>
        <v>Consumer</v>
      </c>
    </row>
    <row r="43" spans="1:14" x14ac:dyDescent="0.25">
      <c r="A43">
        <v>42</v>
      </c>
      <c r="B43" t="s">
        <v>1829</v>
      </c>
      <c r="C43" t="s">
        <v>106</v>
      </c>
      <c r="D43" t="s">
        <v>1814</v>
      </c>
      <c r="E43">
        <v>3</v>
      </c>
      <c r="F43">
        <v>300</v>
      </c>
      <c r="G43">
        <v>900</v>
      </c>
      <c r="H43" s="9">
        <v>0.2</v>
      </c>
      <c r="I43">
        <v>7.92</v>
      </c>
      <c r="J43" s="10">
        <f t="shared" si="0"/>
        <v>2</v>
      </c>
      <c r="K43" s="11">
        <f t="shared" si="1"/>
        <v>8.8000000000000005E-3</v>
      </c>
      <c r="L43" t="str">
        <f>VLOOKUP(C43,Customers!$A$2:$F$1001,2,FALSE())</f>
        <v>David King</v>
      </c>
      <c r="M43" t="str">
        <f>VLOOKUP(C43,Customers!$A$2:$F$1001,3,FALSE())</f>
        <v>East</v>
      </c>
      <c r="N43" t="str">
        <f>VLOOKUP(C43,Customers!$A$2:$F$1001,4,FALSE())</f>
        <v>Corporate</v>
      </c>
    </row>
    <row r="44" spans="1:14" x14ac:dyDescent="0.25">
      <c r="A44">
        <v>43</v>
      </c>
      <c r="B44" t="s">
        <v>1851</v>
      </c>
      <c r="C44" t="s">
        <v>108</v>
      </c>
      <c r="D44" t="s">
        <v>1814</v>
      </c>
      <c r="E44">
        <v>1</v>
      </c>
      <c r="F44">
        <v>300</v>
      </c>
      <c r="G44">
        <v>300</v>
      </c>
      <c r="H44" s="9">
        <v>0.15</v>
      </c>
      <c r="I44">
        <v>14.46</v>
      </c>
      <c r="J44" s="10">
        <f t="shared" si="0"/>
        <v>7</v>
      </c>
      <c r="K44" s="11">
        <f t="shared" si="1"/>
        <v>4.82E-2</v>
      </c>
      <c r="L44" t="str">
        <f>VLOOKUP(C44,Customers!$A$2:$F$1001,2,FALSE())</f>
        <v>Ashley Lewis</v>
      </c>
      <c r="M44" t="str">
        <f>VLOOKUP(C44,Customers!$A$2:$F$1001,3,FALSE())</f>
        <v>East</v>
      </c>
      <c r="N44" t="str">
        <f>VLOOKUP(C44,Customers!$A$2:$F$1001,4,FALSE())</f>
        <v>Corporate</v>
      </c>
    </row>
    <row r="45" spans="1:14" x14ac:dyDescent="0.25">
      <c r="A45">
        <v>44</v>
      </c>
      <c r="B45" t="s">
        <v>1852</v>
      </c>
      <c r="C45" t="s">
        <v>110</v>
      </c>
      <c r="D45" t="s">
        <v>1814</v>
      </c>
      <c r="E45">
        <v>1</v>
      </c>
      <c r="F45">
        <v>25</v>
      </c>
      <c r="G45">
        <v>25</v>
      </c>
      <c r="H45" s="9">
        <v>0.05</v>
      </c>
      <c r="I45">
        <v>6.54</v>
      </c>
      <c r="J45" s="10">
        <f t="shared" si="0"/>
        <v>2</v>
      </c>
      <c r="K45" s="11">
        <f t="shared" si="1"/>
        <v>0.2616</v>
      </c>
      <c r="L45" t="str">
        <f>VLOOKUP(C45,Customers!$A$2:$F$1001,2,FALSE())</f>
        <v>John Gonzalez</v>
      </c>
      <c r="M45" t="str">
        <f>VLOOKUP(C45,Customers!$A$2:$F$1001,3,FALSE())</f>
        <v>East</v>
      </c>
      <c r="N45" t="str">
        <f>VLOOKUP(C45,Customers!$A$2:$F$1001,4,FALSE())</f>
        <v>Home Office</v>
      </c>
    </row>
    <row r="46" spans="1:14" x14ac:dyDescent="0.25">
      <c r="A46">
        <v>45</v>
      </c>
      <c r="B46" t="s">
        <v>1853</v>
      </c>
      <c r="C46" t="s">
        <v>112</v>
      </c>
      <c r="D46" t="s">
        <v>1816</v>
      </c>
      <c r="E46">
        <v>1</v>
      </c>
      <c r="F46">
        <v>30</v>
      </c>
      <c r="G46">
        <v>30</v>
      </c>
      <c r="H46" s="9">
        <v>0.1</v>
      </c>
      <c r="I46">
        <v>0.84</v>
      </c>
      <c r="J46" s="10">
        <f t="shared" si="0"/>
        <v>7</v>
      </c>
      <c r="K46" s="11">
        <f t="shared" si="1"/>
        <v>2.8000000000000001E-2</v>
      </c>
      <c r="L46" t="str">
        <f>VLOOKUP(C46,Customers!$A$2:$F$1001,2,FALSE())</f>
        <v>Joshua King</v>
      </c>
      <c r="M46" t="str">
        <f>VLOOKUP(C46,Customers!$A$2:$F$1001,3,FALSE())</f>
        <v>North</v>
      </c>
      <c r="N46" t="str">
        <f>VLOOKUP(C46,Customers!$A$2:$F$1001,4,FALSE())</f>
        <v>Home Office</v>
      </c>
    </row>
    <row r="47" spans="1:14" x14ac:dyDescent="0.25">
      <c r="A47">
        <v>46</v>
      </c>
      <c r="B47" t="s">
        <v>1854</v>
      </c>
      <c r="C47" t="s">
        <v>114</v>
      </c>
      <c r="D47" t="s">
        <v>1816</v>
      </c>
      <c r="E47">
        <v>4</v>
      </c>
      <c r="F47">
        <v>300</v>
      </c>
      <c r="G47">
        <v>1200</v>
      </c>
      <c r="H47" s="9">
        <v>0.25</v>
      </c>
      <c r="I47">
        <v>-60</v>
      </c>
      <c r="J47" s="10">
        <f t="shared" si="0"/>
        <v>6</v>
      </c>
      <c r="K47" s="11">
        <f t="shared" si="1"/>
        <v>-0.05</v>
      </c>
      <c r="L47" t="str">
        <f>VLOOKUP(C47,Customers!$A$2:$F$1001,2,FALSE())</f>
        <v>Nancy Allen</v>
      </c>
      <c r="M47" t="str">
        <f>VLOOKUP(C47,Customers!$A$2:$F$1001,3,FALSE())</f>
        <v>South</v>
      </c>
      <c r="N47" t="str">
        <f>VLOOKUP(C47,Customers!$A$2:$F$1001,4,FALSE())</f>
        <v>Consumer</v>
      </c>
    </row>
    <row r="48" spans="1:14" x14ac:dyDescent="0.25">
      <c r="A48">
        <v>47</v>
      </c>
      <c r="B48" t="s">
        <v>1855</v>
      </c>
      <c r="C48" t="s">
        <v>116</v>
      </c>
      <c r="D48" t="s">
        <v>1812</v>
      </c>
      <c r="E48">
        <v>3</v>
      </c>
      <c r="F48">
        <v>500</v>
      </c>
      <c r="G48">
        <v>1500</v>
      </c>
      <c r="H48" s="9">
        <v>0.05</v>
      </c>
      <c r="I48">
        <v>436.17</v>
      </c>
      <c r="J48" s="10">
        <f t="shared" si="0"/>
        <v>11</v>
      </c>
      <c r="K48" s="11">
        <f t="shared" si="1"/>
        <v>0.29077999999999998</v>
      </c>
      <c r="L48" t="str">
        <f>VLOOKUP(C48,Customers!$A$2:$F$1001,2,FALSE())</f>
        <v>Kevin Thomas</v>
      </c>
      <c r="M48" t="str">
        <f>VLOOKUP(C48,Customers!$A$2:$F$1001,3,FALSE())</f>
        <v>North</v>
      </c>
      <c r="N48" t="str">
        <f>VLOOKUP(C48,Customers!$A$2:$F$1001,4,FALSE())</f>
        <v>Consumer</v>
      </c>
    </row>
    <row r="49" spans="1:14" x14ac:dyDescent="0.25">
      <c r="A49">
        <v>48</v>
      </c>
      <c r="B49" t="s">
        <v>1856</v>
      </c>
      <c r="C49" t="s">
        <v>118</v>
      </c>
      <c r="D49" t="s">
        <v>1816</v>
      </c>
      <c r="E49">
        <v>3</v>
      </c>
      <c r="F49">
        <v>300</v>
      </c>
      <c r="G49">
        <v>900</v>
      </c>
      <c r="H49" s="9">
        <v>0.1</v>
      </c>
      <c r="I49">
        <v>-27.08</v>
      </c>
      <c r="J49" s="10">
        <f t="shared" si="0"/>
        <v>5</v>
      </c>
      <c r="K49" s="11">
        <f t="shared" si="1"/>
        <v>-3.0088888888888887E-2</v>
      </c>
      <c r="L49" t="str">
        <f>VLOOKUP(C49,Customers!$A$2:$F$1001,2,FALSE())</f>
        <v>Brian Lopez</v>
      </c>
      <c r="M49" t="str">
        <f>VLOOKUP(C49,Customers!$A$2:$F$1001,3,FALSE())</f>
        <v>East</v>
      </c>
      <c r="N49" t="str">
        <f>VLOOKUP(C49,Customers!$A$2:$F$1001,4,FALSE())</f>
        <v>Corporate</v>
      </c>
    </row>
    <row r="50" spans="1:14" x14ac:dyDescent="0.25">
      <c r="A50">
        <v>49</v>
      </c>
      <c r="B50" t="s">
        <v>1857</v>
      </c>
      <c r="C50" t="s">
        <v>120</v>
      </c>
      <c r="D50" t="s">
        <v>1816</v>
      </c>
      <c r="E50">
        <v>2</v>
      </c>
      <c r="F50">
        <v>500</v>
      </c>
      <c r="G50">
        <v>1000</v>
      </c>
      <c r="H50" s="9">
        <v>0.2</v>
      </c>
      <c r="I50">
        <v>-50</v>
      </c>
      <c r="J50" s="10">
        <f t="shared" si="0"/>
        <v>1</v>
      </c>
      <c r="K50" s="11">
        <f t="shared" si="1"/>
        <v>-0.05</v>
      </c>
      <c r="L50" t="str">
        <f>VLOOKUP(C50,Customers!$A$2:$F$1001,2,FALSE())</f>
        <v>Barbara Ramirez</v>
      </c>
      <c r="M50" t="str">
        <f>VLOOKUP(C50,Customers!$A$2:$F$1001,3,FALSE())</f>
        <v>West</v>
      </c>
      <c r="N50" t="str">
        <f>VLOOKUP(C50,Customers!$A$2:$F$1001,4,FALSE())</f>
        <v>Consumer</v>
      </c>
    </row>
    <row r="51" spans="1:14" x14ac:dyDescent="0.25">
      <c r="A51">
        <v>50</v>
      </c>
      <c r="B51" t="s">
        <v>1858</v>
      </c>
      <c r="C51" t="s">
        <v>122</v>
      </c>
      <c r="D51" t="s">
        <v>1812</v>
      </c>
      <c r="E51">
        <v>3</v>
      </c>
      <c r="F51">
        <v>25</v>
      </c>
      <c r="G51">
        <v>75</v>
      </c>
      <c r="H51" s="9">
        <v>0</v>
      </c>
      <c r="I51">
        <v>28.46</v>
      </c>
      <c r="J51" s="10">
        <f t="shared" si="0"/>
        <v>8</v>
      </c>
      <c r="K51" s="11">
        <f t="shared" si="1"/>
        <v>0.37946666666666667</v>
      </c>
      <c r="L51" t="str">
        <f>VLOOKUP(C51,Customers!$A$2:$F$1001,2,FALSE())</f>
        <v>Ashley Garcia</v>
      </c>
      <c r="M51" t="str">
        <f>VLOOKUP(C51,Customers!$A$2:$F$1001,3,FALSE())</f>
        <v>North</v>
      </c>
      <c r="N51" t="str">
        <f>VLOOKUP(C51,Customers!$A$2:$F$1001,4,FALSE())</f>
        <v>Consumer</v>
      </c>
    </row>
    <row r="52" spans="1:14" x14ac:dyDescent="0.25">
      <c r="A52">
        <v>51</v>
      </c>
      <c r="B52" t="s">
        <v>1859</v>
      </c>
      <c r="C52" t="s">
        <v>124</v>
      </c>
      <c r="D52" t="s">
        <v>1812</v>
      </c>
      <c r="E52">
        <v>3</v>
      </c>
      <c r="F52">
        <v>25</v>
      </c>
      <c r="G52">
        <v>75</v>
      </c>
      <c r="H52" s="9">
        <v>0.2</v>
      </c>
      <c r="I52">
        <v>6.83</v>
      </c>
      <c r="J52" s="10">
        <f t="shared" si="0"/>
        <v>10</v>
      </c>
      <c r="K52" s="11">
        <f t="shared" si="1"/>
        <v>9.1066666666666671E-2</v>
      </c>
      <c r="L52" t="str">
        <f>VLOOKUP(C52,Customers!$A$2:$F$1001,2,FALSE())</f>
        <v>Dorothy Davis</v>
      </c>
      <c r="M52" t="str">
        <f>VLOOKUP(C52,Customers!$A$2:$F$1001,3,FALSE())</f>
        <v>East</v>
      </c>
      <c r="N52" t="str">
        <f>VLOOKUP(C52,Customers!$A$2:$F$1001,4,FALSE())</f>
        <v>Home Office</v>
      </c>
    </row>
    <row r="53" spans="1:14" x14ac:dyDescent="0.25">
      <c r="A53">
        <v>52</v>
      </c>
      <c r="B53" t="s">
        <v>1860</v>
      </c>
      <c r="C53" t="s">
        <v>126</v>
      </c>
      <c r="D53" t="s">
        <v>1812</v>
      </c>
      <c r="E53">
        <v>1</v>
      </c>
      <c r="F53">
        <v>300</v>
      </c>
      <c r="G53">
        <v>300</v>
      </c>
      <c r="H53" s="9">
        <v>0</v>
      </c>
      <c r="I53">
        <v>97.54</v>
      </c>
      <c r="J53" s="10">
        <f t="shared" si="0"/>
        <v>3</v>
      </c>
      <c r="K53" s="11">
        <f t="shared" si="1"/>
        <v>0.32513333333333333</v>
      </c>
      <c r="L53" t="str">
        <f>VLOOKUP(C53,Customers!$A$2:$F$1001,2,FALSE())</f>
        <v>Kenneth Smith</v>
      </c>
      <c r="M53" t="str">
        <f>VLOOKUP(C53,Customers!$A$2:$F$1001,3,FALSE())</f>
        <v>North</v>
      </c>
      <c r="N53" t="str">
        <f>VLOOKUP(C53,Customers!$A$2:$F$1001,4,FALSE())</f>
        <v>Consumer</v>
      </c>
    </row>
    <row r="54" spans="1:14" x14ac:dyDescent="0.25">
      <c r="A54">
        <v>53</v>
      </c>
      <c r="B54" t="s">
        <v>1861</v>
      </c>
      <c r="C54" t="s">
        <v>128</v>
      </c>
      <c r="D54" t="s">
        <v>1816</v>
      </c>
      <c r="E54">
        <v>2</v>
      </c>
      <c r="F54">
        <v>50</v>
      </c>
      <c r="G54">
        <v>100</v>
      </c>
      <c r="H54" s="9">
        <v>0.1</v>
      </c>
      <c r="I54">
        <v>6.93</v>
      </c>
      <c r="J54" s="10">
        <f t="shared" si="0"/>
        <v>7</v>
      </c>
      <c r="K54" s="11">
        <f t="shared" si="1"/>
        <v>6.93E-2</v>
      </c>
      <c r="L54" t="str">
        <f>VLOOKUP(C54,Customers!$A$2:$F$1001,2,FALSE())</f>
        <v>Michelle Young</v>
      </c>
      <c r="M54" t="str">
        <f>VLOOKUP(C54,Customers!$A$2:$F$1001,3,FALSE())</f>
        <v>North</v>
      </c>
      <c r="N54" t="str">
        <f>VLOOKUP(C54,Customers!$A$2:$F$1001,4,FALSE())</f>
        <v>Consumer</v>
      </c>
    </row>
    <row r="55" spans="1:14" x14ac:dyDescent="0.25">
      <c r="A55">
        <v>54</v>
      </c>
      <c r="B55" t="s">
        <v>1862</v>
      </c>
      <c r="C55" t="s">
        <v>130</v>
      </c>
      <c r="D55" t="s">
        <v>1816</v>
      </c>
      <c r="E55">
        <v>3</v>
      </c>
      <c r="F55">
        <v>500</v>
      </c>
      <c r="G55">
        <v>1500</v>
      </c>
      <c r="H55" s="9">
        <v>0.15</v>
      </c>
      <c r="I55">
        <v>15.31</v>
      </c>
      <c r="J55" s="10">
        <f t="shared" si="0"/>
        <v>2</v>
      </c>
      <c r="K55" s="11">
        <f t="shared" si="1"/>
        <v>1.0206666666666668E-2</v>
      </c>
      <c r="L55" t="str">
        <f>VLOOKUP(C55,Customers!$A$2:$F$1001,2,FALSE())</f>
        <v>Michelle Clark</v>
      </c>
      <c r="M55" t="str">
        <f>VLOOKUP(C55,Customers!$A$2:$F$1001,3,FALSE())</f>
        <v>North</v>
      </c>
      <c r="N55" t="str">
        <f>VLOOKUP(C55,Customers!$A$2:$F$1001,4,FALSE())</f>
        <v>Home Office</v>
      </c>
    </row>
    <row r="56" spans="1:14" x14ac:dyDescent="0.25">
      <c r="A56">
        <v>55</v>
      </c>
      <c r="B56" t="s">
        <v>1863</v>
      </c>
      <c r="C56" t="s">
        <v>132</v>
      </c>
      <c r="D56" t="s">
        <v>1812</v>
      </c>
      <c r="E56">
        <v>4</v>
      </c>
      <c r="F56">
        <v>30</v>
      </c>
      <c r="G56">
        <v>120</v>
      </c>
      <c r="H56" s="9">
        <v>0.1</v>
      </c>
      <c r="I56">
        <v>29.46</v>
      </c>
      <c r="J56" s="10">
        <f t="shared" si="0"/>
        <v>10</v>
      </c>
      <c r="K56" s="11">
        <f t="shared" si="1"/>
        <v>0.2455</v>
      </c>
      <c r="L56" t="str">
        <f>VLOOKUP(C56,Customers!$A$2:$F$1001,2,FALSE())</f>
        <v>Lisa Lewis</v>
      </c>
      <c r="M56" t="str">
        <f>VLOOKUP(C56,Customers!$A$2:$F$1001,3,FALSE())</f>
        <v>South</v>
      </c>
      <c r="N56" t="str">
        <f>VLOOKUP(C56,Customers!$A$2:$F$1001,4,FALSE())</f>
        <v>Consumer</v>
      </c>
    </row>
    <row r="57" spans="1:14" x14ac:dyDescent="0.25">
      <c r="A57">
        <v>56</v>
      </c>
      <c r="B57" t="s">
        <v>1864</v>
      </c>
      <c r="C57" t="s">
        <v>134</v>
      </c>
      <c r="D57" t="s">
        <v>1814</v>
      </c>
      <c r="E57">
        <v>3</v>
      </c>
      <c r="F57">
        <v>300</v>
      </c>
      <c r="G57">
        <v>900</v>
      </c>
      <c r="H57" s="9">
        <v>0.05</v>
      </c>
      <c r="I57">
        <v>158.71</v>
      </c>
      <c r="J57" s="10">
        <f t="shared" si="0"/>
        <v>5</v>
      </c>
      <c r="K57" s="11">
        <f t="shared" si="1"/>
        <v>0.17634444444444444</v>
      </c>
      <c r="L57" t="str">
        <f>VLOOKUP(C57,Customers!$A$2:$F$1001,2,FALSE())</f>
        <v>Susan Young</v>
      </c>
      <c r="M57" t="str">
        <f>VLOOKUP(C57,Customers!$A$2:$F$1001,3,FALSE())</f>
        <v>East</v>
      </c>
      <c r="N57" t="str">
        <f>VLOOKUP(C57,Customers!$A$2:$F$1001,4,FALSE())</f>
        <v>Consumer</v>
      </c>
    </row>
    <row r="58" spans="1:14" x14ac:dyDescent="0.25">
      <c r="A58">
        <v>57</v>
      </c>
      <c r="B58" t="s">
        <v>1865</v>
      </c>
      <c r="C58" t="s">
        <v>136</v>
      </c>
      <c r="D58" t="s">
        <v>1812</v>
      </c>
      <c r="E58">
        <v>1</v>
      </c>
      <c r="F58">
        <v>30</v>
      </c>
      <c r="G58">
        <v>30</v>
      </c>
      <c r="H58" s="9">
        <v>0.1</v>
      </c>
      <c r="I58">
        <v>6.68</v>
      </c>
      <c r="J58" s="10">
        <f t="shared" si="0"/>
        <v>11</v>
      </c>
      <c r="K58" s="11">
        <f t="shared" si="1"/>
        <v>0.22266666666666665</v>
      </c>
      <c r="L58" t="str">
        <f>VLOOKUP(C58,Customers!$A$2:$F$1001,2,FALSE())</f>
        <v>Betty Jackson</v>
      </c>
      <c r="M58" t="str">
        <f>VLOOKUP(C58,Customers!$A$2:$F$1001,3,FALSE())</f>
        <v>West</v>
      </c>
      <c r="N58" t="str">
        <f>VLOOKUP(C58,Customers!$A$2:$F$1001,4,FALSE())</f>
        <v>Home Office</v>
      </c>
    </row>
    <row r="59" spans="1:14" x14ac:dyDescent="0.25">
      <c r="A59">
        <v>58</v>
      </c>
      <c r="B59" t="s">
        <v>1866</v>
      </c>
      <c r="C59" t="s">
        <v>138</v>
      </c>
      <c r="D59" t="s">
        <v>1814</v>
      </c>
      <c r="E59">
        <v>4</v>
      </c>
      <c r="F59">
        <v>300</v>
      </c>
      <c r="G59">
        <v>1200</v>
      </c>
      <c r="H59" s="9">
        <v>0</v>
      </c>
      <c r="I59">
        <v>271.05</v>
      </c>
      <c r="J59" s="10">
        <f t="shared" si="0"/>
        <v>11</v>
      </c>
      <c r="K59" s="11">
        <f t="shared" si="1"/>
        <v>0.22587500000000002</v>
      </c>
      <c r="L59" t="str">
        <f>VLOOKUP(C59,Customers!$A$2:$F$1001,2,FALSE())</f>
        <v>Margaret Thompson</v>
      </c>
      <c r="M59" t="str">
        <f>VLOOKUP(C59,Customers!$A$2:$F$1001,3,FALSE())</f>
        <v>North</v>
      </c>
      <c r="N59" t="str">
        <f>VLOOKUP(C59,Customers!$A$2:$F$1001,4,FALSE())</f>
        <v>Consumer</v>
      </c>
    </row>
    <row r="60" spans="1:14" x14ac:dyDescent="0.25">
      <c r="A60">
        <v>59</v>
      </c>
      <c r="B60" t="s">
        <v>1867</v>
      </c>
      <c r="C60" t="s">
        <v>140</v>
      </c>
      <c r="D60" t="s">
        <v>1814</v>
      </c>
      <c r="E60">
        <v>1</v>
      </c>
      <c r="F60">
        <v>50</v>
      </c>
      <c r="G60">
        <v>50</v>
      </c>
      <c r="H60" s="9">
        <v>0</v>
      </c>
      <c r="I60">
        <v>11.01</v>
      </c>
      <c r="J60" s="10">
        <f t="shared" si="0"/>
        <v>7</v>
      </c>
      <c r="K60" s="11">
        <f t="shared" si="1"/>
        <v>0.22020000000000001</v>
      </c>
      <c r="L60" t="str">
        <f>VLOOKUP(C60,Customers!$A$2:$F$1001,2,FALSE())</f>
        <v>Mary Garcia</v>
      </c>
      <c r="M60" t="str">
        <f>VLOOKUP(C60,Customers!$A$2:$F$1001,3,FALSE())</f>
        <v>East</v>
      </c>
      <c r="N60" t="str">
        <f>VLOOKUP(C60,Customers!$A$2:$F$1001,4,FALSE())</f>
        <v>Consumer</v>
      </c>
    </row>
    <row r="61" spans="1:14" x14ac:dyDescent="0.25">
      <c r="A61">
        <v>60</v>
      </c>
      <c r="B61" t="s">
        <v>1868</v>
      </c>
      <c r="C61" t="s">
        <v>142</v>
      </c>
      <c r="D61" t="s">
        <v>1812</v>
      </c>
      <c r="E61">
        <v>3</v>
      </c>
      <c r="F61">
        <v>50</v>
      </c>
      <c r="G61">
        <v>150</v>
      </c>
      <c r="H61" s="9">
        <v>0</v>
      </c>
      <c r="I61">
        <v>47.8</v>
      </c>
      <c r="J61" s="10">
        <f t="shared" si="0"/>
        <v>10</v>
      </c>
      <c r="K61" s="11">
        <f t="shared" si="1"/>
        <v>0.31866666666666665</v>
      </c>
      <c r="L61" t="str">
        <f>VLOOKUP(C61,Customers!$A$2:$F$1001,2,FALSE())</f>
        <v>Richard Jones</v>
      </c>
      <c r="M61" t="str">
        <f>VLOOKUP(C61,Customers!$A$2:$F$1001,3,FALSE())</f>
        <v>East</v>
      </c>
      <c r="N61" t="str">
        <f>VLOOKUP(C61,Customers!$A$2:$F$1001,4,FALSE())</f>
        <v>Consumer</v>
      </c>
    </row>
    <row r="62" spans="1:14" x14ac:dyDescent="0.25">
      <c r="A62">
        <v>61</v>
      </c>
      <c r="B62" t="s">
        <v>1869</v>
      </c>
      <c r="C62" t="s">
        <v>144</v>
      </c>
      <c r="D62" t="s">
        <v>1812</v>
      </c>
      <c r="E62">
        <v>4</v>
      </c>
      <c r="F62">
        <v>50</v>
      </c>
      <c r="G62">
        <v>200</v>
      </c>
      <c r="H62" s="9">
        <v>0.1</v>
      </c>
      <c r="I62">
        <v>42.29</v>
      </c>
      <c r="J62" s="10">
        <f t="shared" si="0"/>
        <v>4</v>
      </c>
      <c r="K62" s="11">
        <f t="shared" si="1"/>
        <v>0.21145</v>
      </c>
      <c r="L62" t="str">
        <f>VLOOKUP(C62,Customers!$A$2:$F$1001,2,FALSE())</f>
        <v>Nancy Clark</v>
      </c>
      <c r="M62" t="str">
        <f>VLOOKUP(C62,Customers!$A$2:$F$1001,3,FALSE())</f>
        <v>West</v>
      </c>
      <c r="N62" t="str">
        <f>VLOOKUP(C62,Customers!$A$2:$F$1001,4,FALSE())</f>
        <v>Home Office</v>
      </c>
    </row>
    <row r="63" spans="1:14" x14ac:dyDescent="0.25">
      <c r="A63">
        <v>62</v>
      </c>
      <c r="B63" t="s">
        <v>1870</v>
      </c>
      <c r="C63" t="s">
        <v>146</v>
      </c>
      <c r="D63" t="s">
        <v>1812</v>
      </c>
      <c r="E63">
        <v>2</v>
      </c>
      <c r="F63">
        <v>50</v>
      </c>
      <c r="G63">
        <v>100</v>
      </c>
      <c r="H63" s="9">
        <v>0.05</v>
      </c>
      <c r="I63">
        <v>25.9</v>
      </c>
      <c r="J63" s="10">
        <f t="shared" si="0"/>
        <v>12</v>
      </c>
      <c r="K63" s="11">
        <f t="shared" si="1"/>
        <v>0.25900000000000001</v>
      </c>
      <c r="L63" t="str">
        <f>VLOOKUP(C63,Customers!$A$2:$F$1001,2,FALSE())</f>
        <v>Steven Jackson</v>
      </c>
      <c r="M63" t="str">
        <f>VLOOKUP(C63,Customers!$A$2:$F$1001,3,FALSE())</f>
        <v>East</v>
      </c>
      <c r="N63" t="str">
        <f>VLOOKUP(C63,Customers!$A$2:$F$1001,4,FALSE())</f>
        <v>Consumer</v>
      </c>
    </row>
    <row r="64" spans="1:14" x14ac:dyDescent="0.25">
      <c r="A64">
        <v>63</v>
      </c>
      <c r="B64" t="s">
        <v>1871</v>
      </c>
      <c r="C64" t="s">
        <v>148</v>
      </c>
      <c r="D64" t="s">
        <v>1816</v>
      </c>
      <c r="E64">
        <v>2</v>
      </c>
      <c r="F64">
        <v>25</v>
      </c>
      <c r="G64">
        <v>50</v>
      </c>
      <c r="H64" s="9">
        <v>0</v>
      </c>
      <c r="I64">
        <v>5.15</v>
      </c>
      <c r="J64" s="10">
        <f t="shared" si="0"/>
        <v>2</v>
      </c>
      <c r="K64" s="11">
        <f t="shared" si="1"/>
        <v>0.10300000000000001</v>
      </c>
      <c r="L64" t="str">
        <f>VLOOKUP(C64,Customers!$A$2:$F$1001,2,FALSE())</f>
        <v>Kevin Thompson</v>
      </c>
      <c r="M64" t="str">
        <f>VLOOKUP(C64,Customers!$A$2:$F$1001,3,FALSE())</f>
        <v>North</v>
      </c>
      <c r="N64" t="str">
        <f>VLOOKUP(C64,Customers!$A$2:$F$1001,4,FALSE())</f>
        <v>Corporate</v>
      </c>
    </row>
    <row r="65" spans="1:14" x14ac:dyDescent="0.25">
      <c r="A65">
        <v>64</v>
      </c>
      <c r="B65" t="s">
        <v>1872</v>
      </c>
      <c r="C65" t="s">
        <v>150</v>
      </c>
      <c r="D65" t="s">
        <v>1814</v>
      </c>
      <c r="E65">
        <v>4</v>
      </c>
      <c r="F65">
        <v>25</v>
      </c>
      <c r="G65">
        <v>100</v>
      </c>
      <c r="H65" s="9">
        <v>0.2</v>
      </c>
      <c r="I65">
        <v>1.66</v>
      </c>
      <c r="J65" s="10">
        <f t="shared" si="0"/>
        <v>1</v>
      </c>
      <c r="K65" s="11">
        <f t="shared" si="1"/>
        <v>1.66E-2</v>
      </c>
      <c r="L65" t="str">
        <f>VLOOKUP(C65,Customers!$A$2:$F$1001,2,FALSE())</f>
        <v>Patricia Walker</v>
      </c>
      <c r="M65" t="str">
        <f>VLOOKUP(C65,Customers!$A$2:$F$1001,3,FALSE())</f>
        <v>East</v>
      </c>
      <c r="N65" t="str">
        <f>VLOOKUP(C65,Customers!$A$2:$F$1001,4,FALSE())</f>
        <v>Consumer</v>
      </c>
    </row>
    <row r="66" spans="1:14" x14ac:dyDescent="0.25">
      <c r="A66">
        <v>65</v>
      </c>
      <c r="B66" t="s">
        <v>1873</v>
      </c>
      <c r="C66" t="s">
        <v>152</v>
      </c>
      <c r="D66" t="s">
        <v>1816</v>
      </c>
      <c r="E66">
        <v>4</v>
      </c>
      <c r="F66">
        <v>500</v>
      </c>
      <c r="G66">
        <v>2000</v>
      </c>
      <c r="H66" s="9">
        <v>0.05</v>
      </c>
      <c r="I66">
        <v>194.08</v>
      </c>
      <c r="J66" s="10">
        <f t="shared" ref="J66:J129" si="2">MONTH(B66)</f>
        <v>12</v>
      </c>
      <c r="K66" s="11">
        <f t="shared" ref="K66:K129" si="3">IF(G66=0,0,I66/G66)</f>
        <v>9.7040000000000001E-2</v>
      </c>
      <c r="L66" t="str">
        <f>VLOOKUP(C66,Customers!$A$2:$F$1001,2,FALSE())</f>
        <v>Mark Sanchez</v>
      </c>
      <c r="M66" t="str">
        <f>VLOOKUP(C66,Customers!$A$2:$F$1001,3,FALSE())</f>
        <v>South</v>
      </c>
      <c r="N66" t="str">
        <f>VLOOKUP(C66,Customers!$A$2:$F$1001,4,FALSE())</f>
        <v>Consumer</v>
      </c>
    </row>
    <row r="67" spans="1:14" x14ac:dyDescent="0.25">
      <c r="A67">
        <v>66</v>
      </c>
      <c r="B67" t="s">
        <v>1874</v>
      </c>
      <c r="C67" t="s">
        <v>154</v>
      </c>
      <c r="D67" t="s">
        <v>1816</v>
      </c>
      <c r="E67">
        <v>1</v>
      </c>
      <c r="F67">
        <v>30</v>
      </c>
      <c r="G67">
        <v>30</v>
      </c>
      <c r="H67" s="9">
        <v>0.05</v>
      </c>
      <c r="I67">
        <v>4.2300000000000004</v>
      </c>
      <c r="J67" s="10">
        <f t="shared" si="2"/>
        <v>4</v>
      </c>
      <c r="K67" s="11">
        <f t="shared" si="3"/>
        <v>0.14100000000000001</v>
      </c>
      <c r="L67" t="str">
        <f>VLOOKUP(C67,Customers!$A$2:$F$1001,2,FALSE())</f>
        <v>Mark Thompson</v>
      </c>
      <c r="M67" t="str">
        <f>VLOOKUP(C67,Customers!$A$2:$F$1001,3,FALSE())</f>
        <v>West</v>
      </c>
      <c r="N67" t="str">
        <f>VLOOKUP(C67,Customers!$A$2:$F$1001,4,FALSE())</f>
        <v>Home Office</v>
      </c>
    </row>
    <row r="68" spans="1:14" x14ac:dyDescent="0.25">
      <c r="A68">
        <v>67</v>
      </c>
      <c r="B68" t="s">
        <v>1875</v>
      </c>
      <c r="C68" t="s">
        <v>156</v>
      </c>
      <c r="D68" t="s">
        <v>1812</v>
      </c>
      <c r="E68">
        <v>4</v>
      </c>
      <c r="F68">
        <v>300</v>
      </c>
      <c r="G68">
        <v>1200</v>
      </c>
      <c r="H68" s="9">
        <v>0.05</v>
      </c>
      <c r="I68">
        <v>323.94</v>
      </c>
      <c r="J68" s="10">
        <f t="shared" si="2"/>
        <v>5</v>
      </c>
      <c r="K68" s="11">
        <f t="shared" si="3"/>
        <v>0.26995000000000002</v>
      </c>
      <c r="L68" t="str">
        <f>VLOOKUP(C68,Customers!$A$2:$F$1001,2,FALSE())</f>
        <v>John Thompson</v>
      </c>
      <c r="M68" t="str">
        <f>VLOOKUP(C68,Customers!$A$2:$F$1001,3,FALSE())</f>
        <v>South</v>
      </c>
      <c r="N68" t="str">
        <f>VLOOKUP(C68,Customers!$A$2:$F$1001,4,FALSE())</f>
        <v>Corporate</v>
      </c>
    </row>
    <row r="69" spans="1:14" x14ac:dyDescent="0.25">
      <c r="A69">
        <v>68</v>
      </c>
      <c r="B69" t="s">
        <v>1862</v>
      </c>
      <c r="C69" t="s">
        <v>157</v>
      </c>
      <c r="D69" t="s">
        <v>1816</v>
      </c>
      <c r="E69">
        <v>1</v>
      </c>
      <c r="F69">
        <v>300</v>
      </c>
      <c r="G69">
        <v>300</v>
      </c>
      <c r="H69" s="9">
        <v>0</v>
      </c>
      <c r="I69">
        <v>47.66</v>
      </c>
      <c r="J69" s="10">
        <f t="shared" si="2"/>
        <v>2</v>
      </c>
      <c r="K69" s="11">
        <f t="shared" si="3"/>
        <v>0.15886666666666666</v>
      </c>
      <c r="L69" t="str">
        <f>VLOOKUP(C69,Customers!$A$2:$F$1001,2,FALSE())</f>
        <v>Michelle Gonzalez</v>
      </c>
      <c r="M69" t="str">
        <f>VLOOKUP(C69,Customers!$A$2:$F$1001,3,FALSE())</f>
        <v>East</v>
      </c>
      <c r="N69" t="str">
        <f>VLOOKUP(C69,Customers!$A$2:$F$1001,4,FALSE())</f>
        <v>Home Office</v>
      </c>
    </row>
    <row r="70" spans="1:14" x14ac:dyDescent="0.25">
      <c r="A70">
        <v>69</v>
      </c>
      <c r="B70" t="s">
        <v>1831</v>
      </c>
      <c r="C70" t="s">
        <v>159</v>
      </c>
      <c r="D70" t="s">
        <v>1812</v>
      </c>
      <c r="E70">
        <v>3</v>
      </c>
      <c r="F70">
        <v>25</v>
      </c>
      <c r="G70">
        <v>75</v>
      </c>
      <c r="H70" s="9">
        <v>0.1</v>
      </c>
      <c r="I70">
        <v>17.95</v>
      </c>
      <c r="J70" s="10">
        <f t="shared" si="2"/>
        <v>4</v>
      </c>
      <c r="K70" s="11">
        <f t="shared" si="3"/>
        <v>0.23933333333333331</v>
      </c>
      <c r="L70" t="str">
        <f>VLOOKUP(C70,Customers!$A$2:$F$1001,2,FALSE())</f>
        <v>Donald Johnson</v>
      </c>
      <c r="M70" t="str">
        <f>VLOOKUP(C70,Customers!$A$2:$F$1001,3,FALSE())</f>
        <v>North</v>
      </c>
      <c r="N70" t="str">
        <f>VLOOKUP(C70,Customers!$A$2:$F$1001,4,FALSE())</f>
        <v>Consumer</v>
      </c>
    </row>
    <row r="71" spans="1:14" x14ac:dyDescent="0.25">
      <c r="A71">
        <v>70</v>
      </c>
      <c r="B71" t="s">
        <v>1876</v>
      </c>
      <c r="C71" t="s">
        <v>161</v>
      </c>
      <c r="D71" t="s">
        <v>1814</v>
      </c>
      <c r="E71">
        <v>1</v>
      </c>
      <c r="F71">
        <v>300</v>
      </c>
      <c r="G71">
        <v>300</v>
      </c>
      <c r="H71" s="9">
        <v>0.05</v>
      </c>
      <c r="I71">
        <v>54.72</v>
      </c>
      <c r="J71" s="10">
        <f t="shared" si="2"/>
        <v>2</v>
      </c>
      <c r="K71" s="11">
        <f t="shared" si="3"/>
        <v>0.18240000000000001</v>
      </c>
      <c r="L71" t="str">
        <f>VLOOKUP(C71,Customers!$A$2:$F$1001,2,FALSE())</f>
        <v>Sarah Moore</v>
      </c>
      <c r="M71" t="str">
        <f>VLOOKUP(C71,Customers!$A$2:$F$1001,3,FALSE())</f>
        <v>South</v>
      </c>
      <c r="N71" t="str">
        <f>VLOOKUP(C71,Customers!$A$2:$F$1001,4,FALSE())</f>
        <v>Corporate</v>
      </c>
    </row>
    <row r="72" spans="1:14" x14ac:dyDescent="0.25">
      <c r="A72">
        <v>71</v>
      </c>
      <c r="B72" t="s">
        <v>1851</v>
      </c>
      <c r="C72" t="s">
        <v>163</v>
      </c>
      <c r="D72" t="s">
        <v>1812</v>
      </c>
      <c r="E72">
        <v>4</v>
      </c>
      <c r="F72">
        <v>25</v>
      </c>
      <c r="G72">
        <v>100</v>
      </c>
      <c r="H72" s="9">
        <v>0</v>
      </c>
      <c r="I72">
        <v>37.229999999999997</v>
      </c>
      <c r="J72" s="10">
        <f t="shared" si="2"/>
        <v>7</v>
      </c>
      <c r="K72" s="11">
        <f t="shared" si="3"/>
        <v>0.37229999999999996</v>
      </c>
      <c r="L72" t="str">
        <f>VLOOKUP(C72,Customers!$A$2:$F$1001,2,FALSE())</f>
        <v>Deborah Rodriguez</v>
      </c>
      <c r="M72" t="str">
        <f>VLOOKUP(C72,Customers!$A$2:$F$1001,3,FALSE())</f>
        <v>West</v>
      </c>
      <c r="N72" t="str">
        <f>VLOOKUP(C72,Customers!$A$2:$F$1001,4,FALSE())</f>
        <v>Home Office</v>
      </c>
    </row>
    <row r="73" spans="1:14" x14ac:dyDescent="0.25">
      <c r="A73">
        <v>72</v>
      </c>
      <c r="B73" t="s">
        <v>1843</v>
      </c>
      <c r="C73" t="s">
        <v>165</v>
      </c>
      <c r="D73" t="s">
        <v>1816</v>
      </c>
      <c r="E73">
        <v>4</v>
      </c>
      <c r="F73">
        <v>500</v>
      </c>
      <c r="G73">
        <v>2000</v>
      </c>
      <c r="H73" s="9">
        <v>0.25</v>
      </c>
      <c r="I73">
        <v>-100</v>
      </c>
      <c r="J73" s="10">
        <f t="shared" si="2"/>
        <v>5</v>
      </c>
      <c r="K73" s="11">
        <f t="shared" si="3"/>
        <v>-0.05</v>
      </c>
      <c r="L73" t="str">
        <f>VLOOKUP(C73,Customers!$A$2:$F$1001,2,FALSE())</f>
        <v>Susan Taylor</v>
      </c>
      <c r="M73" t="str">
        <f>VLOOKUP(C73,Customers!$A$2:$F$1001,3,FALSE())</f>
        <v>East</v>
      </c>
      <c r="N73" t="str">
        <f>VLOOKUP(C73,Customers!$A$2:$F$1001,4,FALSE())</f>
        <v>Consumer</v>
      </c>
    </row>
    <row r="74" spans="1:14" x14ac:dyDescent="0.25">
      <c r="A74">
        <v>73</v>
      </c>
      <c r="B74" t="s">
        <v>1877</v>
      </c>
      <c r="C74" t="s">
        <v>167</v>
      </c>
      <c r="D74" t="s">
        <v>1816</v>
      </c>
      <c r="E74">
        <v>3</v>
      </c>
      <c r="F74">
        <v>30</v>
      </c>
      <c r="G74">
        <v>90</v>
      </c>
      <c r="H74" s="9">
        <v>0.15</v>
      </c>
      <c r="I74">
        <v>-1.82</v>
      </c>
      <c r="J74" s="10">
        <f t="shared" si="2"/>
        <v>8</v>
      </c>
      <c r="K74" s="11">
        <f t="shared" si="3"/>
        <v>-2.0222222222222221E-2</v>
      </c>
      <c r="L74" t="str">
        <f>VLOOKUP(C74,Customers!$A$2:$F$1001,2,FALSE())</f>
        <v>Deborah Wright</v>
      </c>
      <c r="M74" t="str">
        <f>VLOOKUP(C74,Customers!$A$2:$F$1001,3,FALSE())</f>
        <v>South</v>
      </c>
      <c r="N74" t="str">
        <f>VLOOKUP(C74,Customers!$A$2:$F$1001,4,FALSE())</f>
        <v>Consumer</v>
      </c>
    </row>
    <row r="75" spans="1:14" x14ac:dyDescent="0.25">
      <c r="A75">
        <v>74</v>
      </c>
      <c r="B75" t="s">
        <v>1878</v>
      </c>
      <c r="C75" t="s">
        <v>169</v>
      </c>
      <c r="D75" t="s">
        <v>1812</v>
      </c>
      <c r="E75">
        <v>4</v>
      </c>
      <c r="F75">
        <v>500</v>
      </c>
      <c r="G75">
        <v>2000</v>
      </c>
      <c r="H75" s="9">
        <v>0.1</v>
      </c>
      <c r="I75">
        <v>444.66</v>
      </c>
      <c r="J75" s="10">
        <f t="shared" si="2"/>
        <v>11</v>
      </c>
      <c r="K75" s="11">
        <f t="shared" si="3"/>
        <v>0.22233</v>
      </c>
      <c r="L75" t="str">
        <f>VLOOKUP(C75,Customers!$A$2:$F$1001,2,FALSE())</f>
        <v>Mary Martinez</v>
      </c>
      <c r="M75" t="str">
        <f>VLOOKUP(C75,Customers!$A$2:$F$1001,3,FALSE())</f>
        <v>West</v>
      </c>
      <c r="N75" t="str">
        <f>VLOOKUP(C75,Customers!$A$2:$F$1001,4,FALSE())</f>
        <v>Home Office</v>
      </c>
    </row>
    <row r="76" spans="1:14" x14ac:dyDescent="0.25">
      <c r="A76">
        <v>75</v>
      </c>
      <c r="B76" t="s">
        <v>1879</v>
      </c>
      <c r="C76" t="s">
        <v>171</v>
      </c>
      <c r="D76" t="s">
        <v>1812</v>
      </c>
      <c r="E76">
        <v>4</v>
      </c>
      <c r="F76">
        <v>50</v>
      </c>
      <c r="G76">
        <v>200</v>
      </c>
      <c r="H76" s="9">
        <v>0.15</v>
      </c>
      <c r="I76">
        <v>31.85</v>
      </c>
      <c r="J76" s="10">
        <f t="shared" si="2"/>
        <v>7</v>
      </c>
      <c r="K76" s="11">
        <f t="shared" si="3"/>
        <v>0.15925</v>
      </c>
      <c r="L76" t="str">
        <f>VLOOKUP(C76,Customers!$A$2:$F$1001,2,FALSE())</f>
        <v>Dorothy Williams</v>
      </c>
      <c r="M76" t="str">
        <f>VLOOKUP(C76,Customers!$A$2:$F$1001,3,FALSE())</f>
        <v>West</v>
      </c>
      <c r="N76" t="str">
        <f>VLOOKUP(C76,Customers!$A$2:$F$1001,4,FALSE())</f>
        <v>Consumer</v>
      </c>
    </row>
    <row r="77" spans="1:14" x14ac:dyDescent="0.25">
      <c r="A77">
        <v>76</v>
      </c>
      <c r="B77" t="s">
        <v>1880</v>
      </c>
      <c r="C77" t="s">
        <v>173</v>
      </c>
      <c r="D77" t="s">
        <v>1816</v>
      </c>
      <c r="E77">
        <v>2</v>
      </c>
      <c r="F77">
        <v>50</v>
      </c>
      <c r="G77">
        <v>100</v>
      </c>
      <c r="H77" s="9">
        <v>0.2</v>
      </c>
      <c r="I77">
        <v>-5</v>
      </c>
      <c r="J77" s="10">
        <f t="shared" si="2"/>
        <v>3</v>
      </c>
      <c r="K77" s="11">
        <f t="shared" si="3"/>
        <v>-0.05</v>
      </c>
      <c r="L77" t="str">
        <f>VLOOKUP(C77,Customers!$A$2:$F$1001,2,FALSE())</f>
        <v>Kevin Lopez</v>
      </c>
      <c r="M77" t="str">
        <f>VLOOKUP(C77,Customers!$A$2:$F$1001,3,FALSE())</f>
        <v>South</v>
      </c>
      <c r="N77" t="str">
        <f>VLOOKUP(C77,Customers!$A$2:$F$1001,4,FALSE())</f>
        <v>Corporate</v>
      </c>
    </row>
    <row r="78" spans="1:14" x14ac:dyDescent="0.25">
      <c r="A78">
        <v>77</v>
      </c>
      <c r="B78" t="s">
        <v>1881</v>
      </c>
      <c r="C78" t="s">
        <v>175</v>
      </c>
      <c r="D78" t="s">
        <v>1814</v>
      </c>
      <c r="E78">
        <v>2</v>
      </c>
      <c r="F78">
        <v>50</v>
      </c>
      <c r="G78">
        <v>100</v>
      </c>
      <c r="H78" s="9">
        <v>0.05</v>
      </c>
      <c r="I78">
        <v>16.579999999999998</v>
      </c>
      <c r="J78" s="10">
        <f t="shared" si="2"/>
        <v>7</v>
      </c>
      <c r="K78" s="11">
        <f t="shared" si="3"/>
        <v>0.16579999999999998</v>
      </c>
      <c r="L78" t="str">
        <f>VLOOKUP(C78,Customers!$A$2:$F$1001,2,FALSE())</f>
        <v>Amanda Lopez</v>
      </c>
      <c r="M78" t="str">
        <f>VLOOKUP(C78,Customers!$A$2:$F$1001,3,FALSE())</f>
        <v>East</v>
      </c>
      <c r="N78" t="str">
        <f>VLOOKUP(C78,Customers!$A$2:$F$1001,4,FALSE())</f>
        <v>Home Office</v>
      </c>
    </row>
    <row r="79" spans="1:14" x14ac:dyDescent="0.25">
      <c r="A79">
        <v>78</v>
      </c>
      <c r="B79" t="s">
        <v>1882</v>
      </c>
      <c r="C79" t="s">
        <v>177</v>
      </c>
      <c r="D79" t="s">
        <v>1814</v>
      </c>
      <c r="E79">
        <v>3</v>
      </c>
      <c r="F79">
        <v>500</v>
      </c>
      <c r="G79">
        <v>1500</v>
      </c>
      <c r="H79" s="9">
        <v>0.1</v>
      </c>
      <c r="I79">
        <v>167.01</v>
      </c>
      <c r="J79" s="10">
        <f t="shared" si="2"/>
        <v>7</v>
      </c>
      <c r="K79" s="11">
        <f t="shared" si="3"/>
        <v>0.11133999999999999</v>
      </c>
      <c r="L79" t="str">
        <f>VLOOKUP(C79,Customers!$A$2:$F$1001,2,FALSE())</f>
        <v>Nancy Clark</v>
      </c>
      <c r="M79" t="str">
        <f>VLOOKUP(C79,Customers!$A$2:$F$1001,3,FALSE())</f>
        <v>South</v>
      </c>
      <c r="N79" t="str">
        <f>VLOOKUP(C79,Customers!$A$2:$F$1001,4,FALSE())</f>
        <v>Consumer</v>
      </c>
    </row>
    <row r="80" spans="1:14" x14ac:dyDescent="0.25">
      <c r="A80">
        <v>79</v>
      </c>
      <c r="B80" t="s">
        <v>1883</v>
      </c>
      <c r="C80" t="s">
        <v>178</v>
      </c>
      <c r="D80" t="s">
        <v>1812</v>
      </c>
      <c r="E80">
        <v>1</v>
      </c>
      <c r="F80">
        <v>300</v>
      </c>
      <c r="G80">
        <v>300</v>
      </c>
      <c r="H80" s="9">
        <v>0.1</v>
      </c>
      <c r="I80">
        <v>58.88</v>
      </c>
      <c r="J80" s="10">
        <f t="shared" si="2"/>
        <v>4</v>
      </c>
      <c r="K80" s="11">
        <f t="shared" si="3"/>
        <v>0.19626666666666667</v>
      </c>
      <c r="L80" t="str">
        <f>VLOOKUP(C80,Customers!$A$2:$F$1001,2,FALSE())</f>
        <v>Michael Thompson</v>
      </c>
      <c r="M80" t="str">
        <f>VLOOKUP(C80,Customers!$A$2:$F$1001,3,FALSE())</f>
        <v>East</v>
      </c>
      <c r="N80" t="str">
        <f>VLOOKUP(C80,Customers!$A$2:$F$1001,4,FALSE())</f>
        <v>Consumer</v>
      </c>
    </row>
    <row r="81" spans="1:14" x14ac:dyDescent="0.25">
      <c r="A81">
        <v>80</v>
      </c>
      <c r="B81" t="s">
        <v>1884</v>
      </c>
      <c r="C81" t="s">
        <v>180</v>
      </c>
      <c r="D81" t="s">
        <v>1814</v>
      </c>
      <c r="E81">
        <v>2</v>
      </c>
      <c r="F81">
        <v>30</v>
      </c>
      <c r="G81">
        <v>60</v>
      </c>
      <c r="H81" s="9">
        <v>0</v>
      </c>
      <c r="I81">
        <v>15.79</v>
      </c>
      <c r="J81" s="10">
        <f t="shared" si="2"/>
        <v>12</v>
      </c>
      <c r="K81" s="11">
        <f t="shared" si="3"/>
        <v>0.26316666666666666</v>
      </c>
      <c r="L81" t="str">
        <f>VLOOKUP(C81,Customers!$A$2:$F$1001,2,FALSE())</f>
        <v>Margaret Young</v>
      </c>
      <c r="M81" t="str">
        <f>VLOOKUP(C81,Customers!$A$2:$F$1001,3,FALSE())</f>
        <v>South</v>
      </c>
      <c r="N81" t="str">
        <f>VLOOKUP(C81,Customers!$A$2:$F$1001,4,FALSE())</f>
        <v>Consumer</v>
      </c>
    </row>
    <row r="82" spans="1:14" x14ac:dyDescent="0.25">
      <c r="A82">
        <v>81</v>
      </c>
      <c r="B82" t="s">
        <v>1885</v>
      </c>
      <c r="C82" t="s">
        <v>182</v>
      </c>
      <c r="D82" t="s">
        <v>1816</v>
      </c>
      <c r="E82">
        <v>1</v>
      </c>
      <c r="F82">
        <v>50</v>
      </c>
      <c r="G82">
        <v>50</v>
      </c>
      <c r="H82" s="9">
        <v>0</v>
      </c>
      <c r="I82">
        <v>9.2899999999999991</v>
      </c>
      <c r="J82" s="10">
        <f t="shared" si="2"/>
        <v>5</v>
      </c>
      <c r="K82" s="11">
        <f t="shared" si="3"/>
        <v>0.18579999999999999</v>
      </c>
      <c r="L82" t="str">
        <f>VLOOKUP(C82,Customers!$A$2:$F$1001,2,FALSE())</f>
        <v>Deborah Clark</v>
      </c>
      <c r="M82" t="str">
        <f>VLOOKUP(C82,Customers!$A$2:$F$1001,3,FALSE())</f>
        <v>North</v>
      </c>
      <c r="N82" t="str">
        <f>VLOOKUP(C82,Customers!$A$2:$F$1001,4,FALSE())</f>
        <v>Consumer</v>
      </c>
    </row>
    <row r="83" spans="1:14" x14ac:dyDescent="0.25">
      <c r="A83">
        <v>82</v>
      </c>
      <c r="B83" t="s">
        <v>1838</v>
      </c>
      <c r="C83" t="s">
        <v>184</v>
      </c>
      <c r="D83" t="s">
        <v>1812</v>
      </c>
      <c r="E83">
        <v>4</v>
      </c>
      <c r="F83">
        <v>50</v>
      </c>
      <c r="G83">
        <v>200</v>
      </c>
      <c r="H83" s="9">
        <v>0</v>
      </c>
      <c r="I83">
        <v>64.55</v>
      </c>
      <c r="J83" s="10">
        <f t="shared" si="2"/>
        <v>12</v>
      </c>
      <c r="K83" s="11">
        <f t="shared" si="3"/>
        <v>0.32274999999999998</v>
      </c>
      <c r="L83" t="str">
        <f>VLOOKUP(C83,Customers!$A$2:$F$1001,2,FALSE())</f>
        <v>Christopher Taylor</v>
      </c>
      <c r="M83" t="str">
        <f>VLOOKUP(C83,Customers!$A$2:$F$1001,3,FALSE())</f>
        <v>West</v>
      </c>
      <c r="N83" t="str">
        <f>VLOOKUP(C83,Customers!$A$2:$F$1001,4,FALSE())</f>
        <v>Consumer</v>
      </c>
    </row>
    <row r="84" spans="1:14" x14ac:dyDescent="0.25">
      <c r="A84">
        <v>83</v>
      </c>
      <c r="B84" t="s">
        <v>1886</v>
      </c>
      <c r="C84" t="s">
        <v>186</v>
      </c>
      <c r="D84" t="s">
        <v>1816</v>
      </c>
      <c r="E84">
        <v>2</v>
      </c>
      <c r="F84">
        <v>50</v>
      </c>
      <c r="G84">
        <v>100</v>
      </c>
      <c r="H84" s="9">
        <v>0.1</v>
      </c>
      <c r="I84">
        <v>3.85</v>
      </c>
      <c r="J84" s="10">
        <f t="shared" si="2"/>
        <v>12</v>
      </c>
      <c r="K84" s="11">
        <f t="shared" si="3"/>
        <v>3.85E-2</v>
      </c>
      <c r="L84" t="str">
        <f>VLOOKUP(C84,Customers!$A$2:$F$1001,2,FALSE())</f>
        <v>Christopher Allen</v>
      </c>
      <c r="M84" t="str">
        <f>VLOOKUP(C84,Customers!$A$2:$F$1001,3,FALSE())</f>
        <v>West</v>
      </c>
      <c r="N84" t="str">
        <f>VLOOKUP(C84,Customers!$A$2:$F$1001,4,FALSE())</f>
        <v>Corporate</v>
      </c>
    </row>
    <row r="85" spans="1:14" x14ac:dyDescent="0.25">
      <c r="A85">
        <v>84</v>
      </c>
      <c r="B85" t="s">
        <v>1887</v>
      </c>
      <c r="C85" t="s">
        <v>187</v>
      </c>
      <c r="D85" t="s">
        <v>1816</v>
      </c>
      <c r="E85">
        <v>3</v>
      </c>
      <c r="F85">
        <v>30</v>
      </c>
      <c r="G85">
        <v>90</v>
      </c>
      <c r="H85" s="9">
        <v>0.15</v>
      </c>
      <c r="I85">
        <v>-4.5</v>
      </c>
      <c r="J85" s="10">
        <f t="shared" si="2"/>
        <v>11</v>
      </c>
      <c r="K85" s="11">
        <f t="shared" si="3"/>
        <v>-0.05</v>
      </c>
      <c r="L85" t="str">
        <f>VLOOKUP(C85,Customers!$A$2:$F$1001,2,FALSE())</f>
        <v>Thomas Miller</v>
      </c>
      <c r="M85" t="str">
        <f>VLOOKUP(C85,Customers!$A$2:$F$1001,3,FALSE())</f>
        <v>West</v>
      </c>
      <c r="N85" t="str">
        <f>VLOOKUP(C85,Customers!$A$2:$F$1001,4,FALSE())</f>
        <v>Consumer</v>
      </c>
    </row>
    <row r="86" spans="1:14" x14ac:dyDescent="0.25">
      <c r="A86">
        <v>85</v>
      </c>
      <c r="B86" t="s">
        <v>1888</v>
      </c>
      <c r="C86" t="s">
        <v>189</v>
      </c>
      <c r="D86" t="s">
        <v>1814</v>
      </c>
      <c r="E86">
        <v>3</v>
      </c>
      <c r="F86">
        <v>50</v>
      </c>
      <c r="G86">
        <v>150</v>
      </c>
      <c r="H86" s="9">
        <v>0.15</v>
      </c>
      <c r="I86">
        <v>9.1300000000000008</v>
      </c>
      <c r="J86" s="10">
        <f t="shared" si="2"/>
        <v>2</v>
      </c>
      <c r="K86" s="11">
        <f t="shared" si="3"/>
        <v>6.0866666666666673E-2</v>
      </c>
      <c r="L86" t="str">
        <f>VLOOKUP(C86,Customers!$A$2:$F$1001,2,FALSE())</f>
        <v>Thomas Smith</v>
      </c>
      <c r="M86" t="str">
        <f>VLOOKUP(C86,Customers!$A$2:$F$1001,3,FALSE())</f>
        <v>West</v>
      </c>
      <c r="N86" t="str">
        <f>VLOOKUP(C86,Customers!$A$2:$F$1001,4,FALSE())</f>
        <v>Corporate</v>
      </c>
    </row>
    <row r="87" spans="1:14" x14ac:dyDescent="0.25">
      <c r="A87">
        <v>86</v>
      </c>
      <c r="B87" t="s">
        <v>1889</v>
      </c>
      <c r="C87" t="s">
        <v>191</v>
      </c>
      <c r="D87" t="s">
        <v>1812</v>
      </c>
      <c r="E87">
        <v>3</v>
      </c>
      <c r="F87">
        <v>30</v>
      </c>
      <c r="G87">
        <v>90</v>
      </c>
      <c r="H87" s="9">
        <v>0.05</v>
      </c>
      <c r="I87">
        <v>24.24</v>
      </c>
      <c r="J87" s="10">
        <f t="shared" si="2"/>
        <v>11</v>
      </c>
      <c r="K87" s="11">
        <f t="shared" si="3"/>
        <v>0.26933333333333331</v>
      </c>
      <c r="L87" t="str">
        <f>VLOOKUP(C87,Customers!$A$2:$F$1001,2,FALSE())</f>
        <v>Jennifer Brown</v>
      </c>
      <c r="M87" t="str">
        <f>VLOOKUP(C87,Customers!$A$2:$F$1001,3,FALSE())</f>
        <v>East</v>
      </c>
      <c r="N87" t="str">
        <f>VLOOKUP(C87,Customers!$A$2:$F$1001,4,FALSE())</f>
        <v>Consumer</v>
      </c>
    </row>
    <row r="88" spans="1:14" x14ac:dyDescent="0.25">
      <c r="A88">
        <v>87</v>
      </c>
      <c r="B88" t="s">
        <v>1878</v>
      </c>
      <c r="C88" t="s">
        <v>193</v>
      </c>
      <c r="D88" t="s">
        <v>1812</v>
      </c>
      <c r="E88">
        <v>2</v>
      </c>
      <c r="F88">
        <v>50</v>
      </c>
      <c r="G88">
        <v>100</v>
      </c>
      <c r="H88" s="9">
        <v>0</v>
      </c>
      <c r="I88">
        <v>36.81</v>
      </c>
      <c r="J88" s="10">
        <f t="shared" si="2"/>
        <v>11</v>
      </c>
      <c r="K88" s="11">
        <f t="shared" si="3"/>
        <v>0.36810000000000004</v>
      </c>
      <c r="L88" t="str">
        <f>VLOOKUP(C88,Customers!$A$2:$F$1001,2,FALSE())</f>
        <v>Joshua Lewis</v>
      </c>
      <c r="M88" t="str">
        <f>VLOOKUP(C88,Customers!$A$2:$F$1001,3,FALSE())</f>
        <v>East</v>
      </c>
      <c r="N88" t="str">
        <f>VLOOKUP(C88,Customers!$A$2:$F$1001,4,FALSE())</f>
        <v>Consumer</v>
      </c>
    </row>
    <row r="89" spans="1:14" x14ac:dyDescent="0.25">
      <c r="A89">
        <v>88</v>
      </c>
      <c r="B89" t="s">
        <v>1890</v>
      </c>
      <c r="C89" t="s">
        <v>195</v>
      </c>
      <c r="D89" t="s">
        <v>1814</v>
      </c>
      <c r="E89">
        <v>1</v>
      </c>
      <c r="F89">
        <v>500</v>
      </c>
      <c r="G89">
        <v>500</v>
      </c>
      <c r="H89" s="9">
        <v>0.05</v>
      </c>
      <c r="I89">
        <v>84.82</v>
      </c>
      <c r="J89" s="10">
        <f t="shared" si="2"/>
        <v>3</v>
      </c>
      <c r="K89" s="11">
        <f t="shared" si="3"/>
        <v>0.16963999999999999</v>
      </c>
      <c r="L89" t="str">
        <f>VLOOKUP(C89,Customers!$A$2:$F$1001,2,FALSE())</f>
        <v>Paul Jackson</v>
      </c>
      <c r="M89" t="str">
        <f>VLOOKUP(C89,Customers!$A$2:$F$1001,3,FALSE())</f>
        <v>East</v>
      </c>
      <c r="N89" t="str">
        <f>VLOOKUP(C89,Customers!$A$2:$F$1001,4,FALSE())</f>
        <v>Consumer</v>
      </c>
    </row>
    <row r="90" spans="1:14" x14ac:dyDescent="0.25">
      <c r="A90">
        <v>89</v>
      </c>
      <c r="B90" t="s">
        <v>1891</v>
      </c>
      <c r="C90" t="s">
        <v>197</v>
      </c>
      <c r="D90" t="s">
        <v>1816</v>
      </c>
      <c r="E90">
        <v>4</v>
      </c>
      <c r="F90">
        <v>500</v>
      </c>
      <c r="G90">
        <v>2000</v>
      </c>
      <c r="H90" s="9">
        <v>0.05</v>
      </c>
      <c r="I90">
        <v>240.7</v>
      </c>
      <c r="J90" s="10">
        <f t="shared" si="2"/>
        <v>10</v>
      </c>
      <c r="K90" s="11">
        <f t="shared" si="3"/>
        <v>0.12035</v>
      </c>
      <c r="L90" t="str">
        <f>VLOOKUP(C90,Customers!$A$2:$F$1001,2,FALSE())</f>
        <v>Emily Miller</v>
      </c>
      <c r="M90" t="str">
        <f>VLOOKUP(C90,Customers!$A$2:$F$1001,3,FALSE())</f>
        <v>South</v>
      </c>
      <c r="N90" t="str">
        <f>VLOOKUP(C90,Customers!$A$2:$F$1001,4,FALSE())</f>
        <v>Corporate</v>
      </c>
    </row>
    <row r="91" spans="1:14" x14ac:dyDescent="0.25">
      <c r="A91">
        <v>90</v>
      </c>
      <c r="B91" t="s">
        <v>1818</v>
      </c>
      <c r="C91" t="s">
        <v>199</v>
      </c>
      <c r="D91" t="s">
        <v>1816</v>
      </c>
      <c r="E91">
        <v>1</v>
      </c>
      <c r="F91">
        <v>30</v>
      </c>
      <c r="G91">
        <v>30</v>
      </c>
      <c r="H91" s="9">
        <v>0.2</v>
      </c>
      <c r="I91">
        <v>-1.5</v>
      </c>
      <c r="J91" s="10">
        <f t="shared" si="2"/>
        <v>5</v>
      </c>
      <c r="K91" s="11">
        <f t="shared" si="3"/>
        <v>-0.05</v>
      </c>
      <c r="L91" t="str">
        <f>VLOOKUP(C91,Customers!$A$2:$F$1001,2,FALSE())</f>
        <v>Amanda Lee</v>
      </c>
      <c r="M91" t="str">
        <f>VLOOKUP(C91,Customers!$A$2:$F$1001,3,FALSE())</f>
        <v>South</v>
      </c>
      <c r="N91" t="str">
        <f>VLOOKUP(C91,Customers!$A$2:$F$1001,4,FALSE())</f>
        <v>Consumer</v>
      </c>
    </row>
    <row r="92" spans="1:14" x14ac:dyDescent="0.25">
      <c r="A92">
        <v>91</v>
      </c>
      <c r="B92" t="s">
        <v>1880</v>
      </c>
      <c r="C92" t="s">
        <v>201</v>
      </c>
      <c r="D92" t="s">
        <v>1816</v>
      </c>
      <c r="E92">
        <v>1</v>
      </c>
      <c r="F92">
        <v>500</v>
      </c>
      <c r="G92">
        <v>500</v>
      </c>
      <c r="H92" s="9">
        <v>0.15</v>
      </c>
      <c r="I92">
        <v>-24.74</v>
      </c>
      <c r="J92" s="10">
        <f t="shared" si="2"/>
        <v>3</v>
      </c>
      <c r="K92" s="11">
        <f t="shared" si="3"/>
        <v>-4.9479999999999996E-2</v>
      </c>
      <c r="L92" t="str">
        <f>VLOOKUP(C92,Customers!$A$2:$F$1001,2,FALSE())</f>
        <v>George Miller</v>
      </c>
      <c r="M92" t="str">
        <f>VLOOKUP(C92,Customers!$A$2:$F$1001,3,FALSE())</f>
        <v>North</v>
      </c>
      <c r="N92" t="str">
        <f>VLOOKUP(C92,Customers!$A$2:$F$1001,4,FALSE())</f>
        <v>Consumer</v>
      </c>
    </row>
    <row r="93" spans="1:14" x14ac:dyDescent="0.25">
      <c r="A93">
        <v>92</v>
      </c>
      <c r="B93" t="s">
        <v>1892</v>
      </c>
      <c r="C93" t="s">
        <v>203</v>
      </c>
      <c r="D93" t="s">
        <v>1816</v>
      </c>
      <c r="E93">
        <v>4</v>
      </c>
      <c r="F93">
        <v>30</v>
      </c>
      <c r="G93">
        <v>120</v>
      </c>
      <c r="H93" s="9">
        <v>0.2</v>
      </c>
      <c r="I93">
        <v>-6</v>
      </c>
      <c r="J93" s="10">
        <f t="shared" si="2"/>
        <v>8</v>
      </c>
      <c r="K93" s="11">
        <f t="shared" si="3"/>
        <v>-0.05</v>
      </c>
      <c r="L93" t="str">
        <f>VLOOKUP(C93,Customers!$A$2:$F$1001,2,FALSE())</f>
        <v>Matthew Ramirez</v>
      </c>
      <c r="M93" t="str">
        <f>VLOOKUP(C93,Customers!$A$2:$F$1001,3,FALSE())</f>
        <v>East</v>
      </c>
      <c r="N93" t="str">
        <f>VLOOKUP(C93,Customers!$A$2:$F$1001,4,FALSE())</f>
        <v>Home Office</v>
      </c>
    </row>
    <row r="94" spans="1:14" x14ac:dyDescent="0.25">
      <c r="A94">
        <v>93</v>
      </c>
      <c r="B94" t="s">
        <v>1851</v>
      </c>
      <c r="C94" t="s">
        <v>205</v>
      </c>
      <c r="D94" t="s">
        <v>1812</v>
      </c>
      <c r="E94">
        <v>4</v>
      </c>
      <c r="F94">
        <v>500</v>
      </c>
      <c r="G94">
        <v>2000</v>
      </c>
      <c r="H94" s="9">
        <v>0.15</v>
      </c>
      <c r="I94">
        <v>355.19</v>
      </c>
      <c r="J94" s="10">
        <f t="shared" si="2"/>
        <v>7</v>
      </c>
      <c r="K94" s="11">
        <f t="shared" si="3"/>
        <v>0.177595</v>
      </c>
      <c r="L94" t="str">
        <f>VLOOKUP(C94,Customers!$A$2:$F$1001,2,FALSE())</f>
        <v>Matthew Moore</v>
      </c>
      <c r="M94" t="str">
        <f>VLOOKUP(C94,Customers!$A$2:$F$1001,3,FALSE())</f>
        <v>South</v>
      </c>
      <c r="N94" t="str">
        <f>VLOOKUP(C94,Customers!$A$2:$F$1001,4,FALSE())</f>
        <v>Corporate</v>
      </c>
    </row>
    <row r="95" spans="1:14" x14ac:dyDescent="0.25">
      <c r="A95">
        <v>94</v>
      </c>
      <c r="B95" t="s">
        <v>1893</v>
      </c>
      <c r="C95" t="s">
        <v>207</v>
      </c>
      <c r="D95" t="s">
        <v>1812</v>
      </c>
      <c r="E95">
        <v>2</v>
      </c>
      <c r="F95">
        <v>500</v>
      </c>
      <c r="G95">
        <v>1000</v>
      </c>
      <c r="H95" s="9">
        <v>0.25</v>
      </c>
      <c r="I95">
        <v>76.86</v>
      </c>
      <c r="J95" s="10">
        <f t="shared" si="2"/>
        <v>5</v>
      </c>
      <c r="K95" s="11">
        <f t="shared" si="3"/>
        <v>7.6859999999999998E-2</v>
      </c>
      <c r="L95" t="str">
        <f>VLOOKUP(C95,Customers!$A$2:$F$1001,2,FALSE())</f>
        <v>David Thomas</v>
      </c>
      <c r="M95" t="str">
        <f>VLOOKUP(C95,Customers!$A$2:$F$1001,3,FALSE())</f>
        <v>North</v>
      </c>
      <c r="N95" t="str">
        <f>VLOOKUP(C95,Customers!$A$2:$F$1001,4,FALSE())</f>
        <v>Consumer</v>
      </c>
    </row>
    <row r="96" spans="1:14" x14ac:dyDescent="0.25">
      <c r="A96">
        <v>95</v>
      </c>
      <c r="B96" t="s">
        <v>1811</v>
      </c>
      <c r="C96" t="s">
        <v>209</v>
      </c>
      <c r="D96" t="s">
        <v>1814</v>
      </c>
      <c r="E96">
        <v>2</v>
      </c>
      <c r="F96">
        <v>30</v>
      </c>
      <c r="G96">
        <v>60</v>
      </c>
      <c r="H96" s="9">
        <v>0.05</v>
      </c>
      <c r="I96">
        <v>11.89</v>
      </c>
      <c r="J96" s="10">
        <f t="shared" si="2"/>
        <v>11</v>
      </c>
      <c r="K96" s="11">
        <f t="shared" si="3"/>
        <v>0.19816666666666669</v>
      </c>
      <c r="L96" t="str">
        <f>VLOOKUP(C96,Customers!$A$2:$F$1001,2,FALSE())</f>
        <v>Barbara Gonzalez</v>
      </c>
      <c r="M96" t="str">
        <f>VLOOKUP(C96,Customers!$A$2:$F$1001,3,FALSE())</f>
        <v>East</v>
      </c>
      <c r="N96" t="str">
        <f>VLOOKUP(C96,Customers!$A$2:$F$1001,4,FALSE())</f>
        <v>Home Office</v>
      </c>
    </row>
    <row r="97" spans="1:14" x14ac:dyDescent="0.25">
      <c r="A97">
        <v>96</v>
      </c>
      <c r="B97" t="s">
        <v>1894</v>
      </c>
      <c r="C97" t="s">
        <v>211</v>
      </c>
      <c r="D97" t="s">
        <v>1814</v>
      </c>
      <c r="E97">
        <v>2</v>
      </c>
      <c r="F97">
        <v>300</v>
      </c>
      <c r="G97">
        <v>600</v>
      </c>
      <c r="H97" s="9">
        <v>0</v>
      </c>
      <c r="I97">
        <v>190.3</v>
      </c>
      <c r="J97" s="10">
        <f t="shared" si="2"/>
        <v>12</v>
      </c>
      <c r="K97" s="11">
        <f t="shared" si="3"/>
        <v>0.31716666666666671</v>
      </c>
      <c r="L97" t="str">
        <f>VLOOKUP(C97,Customers!$A$2:$F$1001,2,FALSE())</f>
        <v>Paul Sanchez</v>
      </c>
      <c r="M97" t="str">
        <f>VLOOKUP(C97,Customers!$A$2:$F$1001,3,FALSE())</f>
        <v>South</v>
      </c>
      <c r="N97" t="str">
        <f>VLOOKUP(C97,Customers!$A$2:$F$1001,4,FALSE())</f>
        <v>Consumer</v>
      </c>
    </row>
    <row r="98" spans="1:14" x14ac:dyDescent="0.25">
      <c r="A98">
        <v>97</v>
      </c>
      <c r="B98" t="s">
        <v>1895</v>
      </c>
      <c r="C98" t="s">
        <v>213</v>
      </c>
      <c r="D98" t="s">
        <v>1812</v>
      </c>
      <c r="E98">
        <v>2</v>
      </c>
      <c r="F98">
        <v>500</v>
      </c>
      <c r="G98">
        <v>1000</v>
      </c>
      <c r="H98" s="9">
        <v>0</v>
      </c>
      <c r="I98">
        <v>392.89</v>
      </c>
      <c r="J98" s="10">
        <f t="shared" si="2"/>
        <v>10</v>
      </c>
      <c r="K98" s="11">
        <f t="shared" si="3"/>
        <v>0.39288999999999996</v>
      </c>
      <c r="L98" t="str">
        <f>VLOOKUP(C98,Customers!$A$2:$F$1001,2,FALSE())</f>
        <v>Donald Anderson</v>
      </c>
      <c r="M98" t="str">
        <f>VLOOKUP(C98,Customers!$A$2:$F$1001,3,FALSE())</f>
        <v>North</v>
      </c>
      <c r="N98" t="str">
        <f>VLOOKUP(C98,Customers!$A$2:$F$1001,4,FALSE())</f>
        <v>Consumer</v>
      </c>
    </row>
    <row r="99" spans="1:14" x14ac:dyDescent="0.25">
      <c r="A99">
        <v>98</v>
      </c>
      <c r="B99" t="s">
        <v>1840</v>
      </c>
      <c r="C99" t="s">
        <v>215</v>
      </c>
      <c r="D99" t="s">
        <v>1812</v>
      </c>
      <c r="E99">
        <v>2</v>
      </c>
      <c r="F99">
        <v>50</v>
      </c>
      <c r="G99">
        <v>100</v>
      </c>
      <c r="H99" s="9">
        <v>0.05</v>
      </c>
      <c r="I99">
        <v>28.08</v>
      </c>
      <c r="J99" s="10">
        <f t="shared" si="2"/>
        <v>4</v>
      </c>
      <c r="K99" s="11">
        <f t="shared" si="3"/>
        <v>0.28079999999999999</v>
      </c>
      <c r="L99" t="str">
        <f>VLOOKUP(C99,Customers!$A$2:$F$1001,2,FALSE())</f>
        <v>Melissa Brown</v>
      </c>
      <c r="M99" t="str">
        <f>VLOOKUP(C99,Customers!$A$2:$F$1001,3,FALSE())</f>
        <v>West</v>
      </c>
      <c r="N99" t="str">
        <f>VLOOKUP(C99,Customers!$A$2:$F$1001,4,FALSE())</f>
        <v>Consumer</v>
      </c>
    </row>
    <row r="100" spans="1:14" x14ac:dyDescent="0.25">
      <c r="A100">
        <v>99</v>
      </c>
      <c r="B100" t="s">
        <v>1896</v>
      </c>
      <c r="C100" t="s">
        <v>217</v>
      </c>
      <c r="D100" t="s">
        <v>1816</v>
      </c>
      <c r="E100">
        <v>4</v>
      </c>
      <c r="F100">
        <v>300</v>
      </c>
      <c r="G100">
        <v>1200</v>
      </c>
      <c r="H100" s="9">
        <v>0</v>
      </c>
      <c r="I100">
        <v>168.55</v>
      </c>
      <c r="J100" s="10">
        <f t="shared" si="2"/>
        <v>12</v>
      </c>
      <c r="K100" s="11">
        <f t="shared" si="3"/>
        <v>0.14045833333333335</v>
      </c>
      <c r="L100" t="str">
        <f>VLOOKUP(C100,Customers!$A$2:$F$1001,2,FALSE())</f>
        <v>Sarah Jones</v>
      </c>
      <c r="M100" t="str">
        <f>VLOOKUP(C100,Customers!$A$2:$F$1001,3,FALSE())</f>
        <v>West</v>
      </c>
      <c r="N100" t="str">
        <f>VLOOKUP(C100,Customers!$A$2:$F$1001,4,FALSE())</f>
        <v>Consumer</v>
      </c>
    </row>
    <row r="101" spans="1:14" x14ac:dyDescent="0.25">
      <c r="A101">
        <v>100</v>
      </c>
      <c r="B101" t="s">
        <v>1897</v>
      </c>
      <c r="C101" t="s">
        <v>219</v>
      </c>
      <c r="D101" t="s">
        <v>1816</v>
      </c>
      <c r="E101">
        <v>1</v>
      </c>
      <c r="F101">
        <v>30</v>
      </c>
      <c r="G101">
        <v>30</v>
      </c>
      <c r="H101" s="9">
        <v>0</v>
      </c>
      <c r="I101">
        <v>4.92</v>
      </c>
      <c r="J101" s="10">
        <f t="shared" si="2"/>
        <v>6</v>
      </c>
      <c r="K101" s="11">
        <f t="shared" si="3"/>
        <v>0.16400000000000001</v>
      </c>
      <c r="L101" t="str">
        <f>VLOOKUP(C101,Customers!$A$2:$F$1001,2,FALSE())</f>
        <v>Thomas Hill</v>
      </c>
      <c r="M101" t="str">
        <f>VLOOKUP(C101,Customers!$A$2:$F$1001,3,FALSE())</f>
        <v>North</v>
      </c>
      <c r="N101" t="str">
        <f>VLOOKUP(C101,Customers!$A$2:$F$1001,4,FALSE())</f>
        <v>Consumer</v>
      </c>
    </row>
    <row r="102" spans="1:14" x14ac:dyDescent="0.25">
      <c r="A102">
        <v>101</v>
      </c>
      <c r="B102" t="s">
        <v>1898</v>
      </c>
      <c r="C102" t="s">
        <v>221</v>
      </c>
      <c r="D102" t="s">
        <v>1814</v>
      </c>
      <c r="E102">
        <v>2</v>
      </c>
      <c r="F102">
        <v>300</v>
      </c>
      <c r="G102">
        <v>600</v>
      </c>
      <c r="H102" s="9">
        <v>0.2</v>
      </c>
      <c r="I102">
        <v>-9.08</v>
      </c>
      <c r="J102" s="10">
        <f t="shared" si="2"/>
        <v>1</v>
      </c>
      <c r="K102" s="11">
        <f t="shared" si="3"/>
        <v>-1.5133333333333334E-2</v>
      </c>
      <c r="L102" t="str">
        <f>VLOOKUP(C102,Customers!$A$2:$F$1001,2,FALSE())</f>
        <v>Charles Torres</v>
      </c>
      <c r="M102" t="str">
        <f>VLOOKUP(C102,Customers!$A$2:$F$1001,3,FALSE())</f>
        <v>North</v>
      </c>
      <c r="N102" t="str">
        <f>VLOOKUP(C102,Customers!$A$2:$F$1001,4,FALSE())</f>
        <v>Corporate</v>
      </c>
    </row>
    <row r="103" spans="1:14" x14ac:dyDescent="0.25">
      <c r="A103">
        <v>102</v>
      </c>
      <c r="B103" t="s">
        <v>1899</v>
      </c>
      <c r="C103" t="s">
        <v>223</v>
      </c>
      <c r="D103" t="s">
        <v>1812</v>
      </c>
      <c r="E103">
        <v>2</v>
      </c>
      <c r="F103">
        <v>25</v>
      </c>
      <c r="G103">
        <v>50</v>
      </c>
      <c r="H103" s="9">
        <v>0</v>
      </c>
      <c r="I103">
        <v>19.25</v>
      </c>
      <c r="J103" s="10">
        <f t="shared" si="2"/>
        <v>4</v>
      </c>
      <c r="K103" s="11">
        <f t="shared" si="3"/>
        <v>0.38500000000000001</v>
      </c>
      <c r="L103" t="str">
        <f>VLOOKUP(C103,Customers!$A$2:$F$1001,2,FALSE())</f>
        <v>Matthew Ramirez</v>
      </c>
      <c r="M103" t="str">
        <f>VLOOKUP(C103,Customers!$A$2:$F$1001,3,FALSE())</f>
        <v>South</v>
      </c>
      <c r="N103" t="str">
        <f>VLOOKUP(C103,Customers!$A$2:$F$1001,4,FALSE())</f>
        <v>Consumer</v>
      </c>
    </row>
    <row r="104" spans="1:14" x14ac:dyDescent="0.25">
      <c r="A104">
        <v>103</v>
      </c>
      <c r="B104" t="s">
        <v>1827</v>
      </c>
      <c r="C104" t="s">
        <v>224</v>
      </c>
      <c r="D104" t="s">
        <v>1814</v>
      </c>
      <c r="E104">
        <v>1</v>
      </c>
      <c r="F104">
        <v>25</v>
      </c>
      <c r="G104">
        <v>25</v>
      </c>
      <c r="H104" s="9">
        <v>0.2</v>
      </c>
      <c r="I104">
        <v>0.52</v>
      </c>
      <c r="J104" s="10">
        <f t="shared" si="2"/>
        <v>1</v>
      </c>
      <c r="K104" s="11">
        <f t="shared" si="3"/>
        <v>2.0799999999999999E-2</v>
      </c>
      <c r="L104" t="str">
        <f>VLOOKUP(C104,Customers!$A$2:$F$1001,2,FALSE())</f>
        <v>Daniel Hernandez</v>
      </c>
      <c r="M104" t="str">
        <f>VLOOKUP(C104,Customers!$A$2:$F$1001,3,FALSE())</f>
        <v>West</v>
      </c>
      <c r="N104" t="str">
        <f>VLOOKUP(C104,Customers!$A$2:$F$1001,4,FALSE())</f>
        <v>Home Office</v>
      </c>
    </row>
    <row r="105" spans="1:14" x14ac:dyDescent="0.25">
      <c r="A105">
        <v>104</v>
      </c>
      <c r="B105" t="s">
        <v>1900</v>
      </c>
      <c r="C105" t="s">
        <v>226</v>
      </c>
      <c r="D105" t="s">
        <v>1812</v>
      </c>
      <c r="E105">
        <v>2</v>
      </c>
      <c r="F105">
        <v>500</v>
      </c>
      <c r="G105">
        <v>1000</v>
      </c>
      <c r="H105" s="9">
        <v>0.15</v>
      </c>
      <c r="I105">
        <v>177.69</v>
      </c>
      <c r="J105" s="10">
        <f t="shared" si="2"/>
        <v>6</v>
      </c>
      <c r="K105" s="11">
        <f t="shared" si="3"/>
        <v>0.17768999999999999</v>
      </c>
      <c r="L105" t="str">
        <f>VLOOKUP(C105,Customers!$A$2:$F$1001,2,FALSE())</f>
        <v>Joshua Hill</v>
      </c>
      <c r="M105" t="str">
        <f>VLOOKUP(C105,Customers!$A$2:$F$1001,3,FALSE())</f>
        <v>West</v>
      </c>
      <c r="N105" t="str">
        <f>VLOOKUP(C105,Customers!$A$2:$F$1001,4,FALSE())</f>
        <v>Home Office</v>
      </c>
    </row>
    <row r="106" spans="1:14" x14ac:dyDescent="0.25">
      <c r="A106">
        <v>105</v>
      </c>
      <c r="B106" t="s">
        <v>1901</v>
      </c>
      <c r="C106" t="s">
        <v>228</v>
      </c>
      <c r="D106" t="s">
        <v>1816</v>
      </c>
      <c r="E106">
        <v>1</v>
      </c>
      <c r="F106">
        <v>500</v>
      </c>
      <c r="G106">
        <v>500</v>
      </c>
      <c r="H106" s="9">
        <v>0.1</v>
      </c>
      <c r="I106">
        <v>25.3</v>
      </c>
      <c r="J106" s="10">
        <f t="shared" si="2"/>
        <v>7</v>
      </c>
      <c r="K106" s="11">
        <f t="shared" si="3"/>
        <v>5.0599999999999999E-2</v>
      </c>
      <c r="L106" t="str">
        <f>VLOOKUP(C106,Customers!$A$2:$F$1001,2,FALSE())</f>
        <v>Susan Young</v>
      </c>
      <c r="M106" t="str">
        <f>VLOOKUP(C106,Customers!$A$2:$F$1001,3,FALSE())</f>
        <v>North</v>
      </c>
      <c r="N106" t="str">
        <f>VLOOKUP(C106,Customers!$A$2:$F$1001,4,FALSE())</f>
        <v>Corporate</v>
      </c>
    </row>
    <row r="107" spans="1:14" x14ac:dyDescent="0.25">
      <c r="A107">
        <v>106</v>
      </c>
      <c r="B107" t="s">
        <v>1902</v>
      </c>
      <c r="C107" t="s">
        <v>229</v>
      </c>
      <c r="D107" t="s">
        <v>1814</v>
      </c>
      <c r="E107">
        <v>1</v>
      </c>
      <c r="F107">
        <v>50</v>
      </c>
      <c r="G107">
        <v>50</v>
      </c>
      <c r="H107" s="9">
        <v>0.1</v>
      </c>
      <c r="I107">
        <v>9.08</v>
      </c>
      <c r="J107" s="10">
        <f t="shared" si="2"/>
        <v>5</v>
      </c>
      <c r="K107" s="11">
        <f t="shared" si="3"/>
        <v>0.18160000000000001</v>
      </c>
      <c r="L107" t="str">
        <f>VLOOKUP(C107,Customers!$A$2:$F$1001,2,FALSE())</f>
        <v>Susan Lewis</v>
      </c>
      <c r="M107" t="str">
        <f>VLOOKUP(C107,Customers!$A$2:$F$1001,3,FALSE())</f>
        <v>East</v>
      </c>
      <c r="N107" t="str">
        <f>VLOOKUP(C107,Customers!$A$2:$F$1001,4,FALSE())</f>
        <v>Corporate</v>
      </c>
    </row>
    <row r="108" spans="1:14" x14ac:dyDescent="0.25">
      <c r="A108">
        <v>107</v>
      </c>
      <c r="B108" t="s">
        <v>1903</v>
      </c>
      <c r="C108" t="s">
        <v>231</v>
      </c>
      <c r="D108" t="s">
        <v>1814</v>
      </c>
      <c r="E108">
        <v>4</v>
      </c>
      <c r="F108">
        <v>300</v>
      </c>
      <c r="G108">
        <v>1200</v>
      </c>
      <c r="H108" s="9">
        <v>0.05</v>
      </c>
      <c r="I108">
        <v>234.15</v>
      </c>
      <c r="J108" s="10">
        <f t="shared" si="2"/>
        <v>2</v>
      </c>
      <c r="K108" s="11">
        <f t="shared" si="3"/>
        <v>0.19512499999999999</v>
      </c>
      <c r="L108" t="str">
        <f>VLOOKUP(C108,Customers!$A$2:$F$1001,2,FALSE())</f>
        <v>Michelle Moore</v>
      </c>
      <c r="M108" t="str">
        <f>VLOOKUP(C108,Customers!$A$2:$F$1001,3,FALSE())</f>
        <v>North</v>
      </c>
      <c r="N108" t="str">
        <f>VLOOKUP(C108,Customers!$A$2:$F$1001,4,FALSE())</f>
        <v>Corporate</v>
      </c>
    </row>
    <row r="109" spans="1:14" x14ac:dyDescent="0.25">
      <c r="A109">
        <v>108</v>
      </c>
      <c r="B109" t="s">
        <v>1904</v>
      </c>
      <c r="C109" t="s">
        <v>233</v>
      </c>
      <c r="D109" t="s">
        <v>1812</v>
      </c>
      <c r="E109">
        <v>3</v>
      </c>
      <c r="F109">
        <v>25</v>
      </c>
      <c r="G109">
        <v>75</v>
      </c>
      <c r="H109" s="9">
        <v>0.1</v>
      </c>
      <c r="I109">
        <v>17</v>
      </c>
      <c r="J109" s="10">
        <f t="shared" si="2"/>
        <v>4</v>
      </c>
      <c r="K109" s="11">
        <f t="shared" si="3"/>
        <v>0.22666666666666666</v>
      </c>
      <c r="L109" t="str">
        <f>VLOOKUP(C109,Customers!$A$2:$F$1001,2,FALSE())</f>
        <v>Andrew Hernandez</v>
      </c>
      <c r="M109" t="str">
        <f>VLOOKUP(C109,Customers!$A$2:$F$1001,3,FALSE())</f>
        <v>South</v>
      </c>
      <c r="N109" t="str">
        <f>VLOOKUP(C109,Customers!$A$2:$F$1001,4,FALSE())</f>
        <v>Home Office</v>
      </c>
    </row>
    <row r="110" spans="1:14" x14ac:dyDescent="0.25">
      <c r="A110">
        <v>109</v>
      </c>
      <c r="B110" t="s">
        <v>1905</v>
      </c>
      <c r="C110" t="s">
        <v>235</v>
      </c>
      <c r="D110" t="s">
        <v>1816</v>
      </c>
      <c r="E110">
        <v>4</v>
      </c>
      <c r="F110">
        <v>500</v>
      </c>
      <c r="G110">
        <v>2000</v>
      </c>
      <c r="H110" s="9">
        <v>0</v>
      </c>
      <c r="I110">
        <v>390.52</v>
      </c>
      <c r="J110" s="10">
        <f t="shared" si="2"/>
        <v>10</v>
      </c>
      <c r="K110" s="11">
        <f t="shared" si="3"/>
        <v>0.19525999999999999</v>
      </c>
      <c r="L110" t="str">
        <f>VLOOKUP(C110,Customers!$A$2:$F$1001,2,FALSE())</f>
        <v>Patricia Brown</v>
      </c>
      <c r="M110" t="str">
        <f>VLOOKUP(C110,Customers!$A$2:$F$1001,3,FALSE())</f>
        <v>West</v>
      </c>
      <c r="N110" t="str">
        <f>VLOOKUP(C110,Customers!$A$2:$F$1001,4,FALSE())</f>
        <v>Consumer</v>
      </c>
    </row>
    <row r="111" spans="1:14" x14ac:dyDescent="0.25">
      <c r="A111">
        <v>110</v>
      </c>
      <c r="B111" t="s">
        <v>1900</v>
      </c>
      <c r="C111" t="s">
        <v>237</v>
      </c>
      <c r="D111" t="s">
        <v>1814</v>
      </c>
      <c r="E111">
        <v>3</v>
      </c>
      <c r="F111">
        <v>300</v>
      </c>
      <c r="G111">
        <v>900</v>
      </c>
      <c r="H111" s="9">
        <v>0.2</v>
      </c>
      <c r="I111">
        <v>35.119999999999997</v>
      </c>
      <c r="J111" s="10">
        <f t="shared" si="2"/>
        <v>6</v>
      </c>
      <c r="K111" s="11">
        <f t="shared" si="3"/>
        <v>3.9022222222222222E-2</v>
      </c>
      <c r="L111" t="str">
        <f>VLOOKUP(C111,Customers!$A$2:$F$1001,2,FALSE())</f>
        <v>Daniel Torres</v>
      </c>
      <c r="M111" t="str">
        <f>VLOOKUP(C111,Customers!$A$2:$F$1001,3,FALSE())</f>
        <v>North</v>
      </c>
      <c r="N111" t="str">
        <f>VLOOKUP(C111,Customers!$A$2:$F$1001,4,FALSE())</f>
        <v>Consumer</v>
      </c>
    </row>
    <row r="112" spans="1:14" x14ac:dyDescent="0.25">
      <c r="A112">
        <v>111</v>
      </c>
      <c r="B112" t="s">
        <v>1904</v>
      </c>
      <c r="C112" t="s">
        <v>239</v>
      </c>
      <c r="D112" t="s">
        <v>1816</v>
      </c>
      <c r="E112">
        <v>3</v>
      </c>
      <c r="F112">
        <v>500</v>
      </c>
      <c r="G112">
        <v>1500</v>
      </c>
      <c r="H112" s="9">
        <v>0.05</v>
      </c>
      <c r="I112">
        <v>120.56</v>
      </c>
      <c r="J112" s="10">
        <f t="shared" si="2"/>
        <v>4</v>
      </c>
      <c r="K112" s="11">
        <f t="shared" si="3"/>
        <v>8.0373333333333338E-2</v>
      </c>
      <c r="L112" t="str">
        <f>VLOOKUP(C112,Customers!$A$2:$F$1001,2,FALSE())</f>
        <v>Michael Jackson</v>
      </c>
      <c r="M112" t="str">
        <f>VLOOKUP(C112,Customers!$A$2:$F$1001,3,FALSE())</f>
        <v>North</v>
      </c>
      <c r="N112" t="str">
        <f>VLOOKUP(C112,Customers!$A$2:$F$1001,4,FALSE())</f>
        <v>Corporate</v>
      </c>
    </row>
    <row r="113" spans="1:14" x14ac:dyDescent="0.25">
      <c r="A113">
        <v>112</v>
      </c>
      <c r="B113" t="s">
        <v>1906</v>
      </c>
      <c r="C113" t="s">
        <v>241</v>
      </c>
      <c r="D113" t="s">
        <v>1814</v>
      </c>
      <c r="E113">
        <v>3</v>
      </c>
      <c r="F113">
        <v>500</v>
      </c>
      <c r="G113">
        <v>1500</v>
      </c>
      <c r="H113" s="9">
        <v>0</v>
      </c>
      <c r="I113">
        <v>375.23</v>
      </c>
      <c r="J113" s="10">
        <f t="shared" si="2"/>
        <v>12</v>
      </c>
      <c r="K113" s="11">
        <f t="shared" si="3"/>
        <v>0.25015333333333334</v>
      </c>
      <c r="L113" t="str">
        <f>VLOOKUP(C113,Customers!$A$2:$F$1001,2,FALSE())</f>
        <v>Emily Rodriguez</v>
      </c>
      <c r="M113" t="str">
        <f>VLOOKUP(C113,Customers!$A$2:$F$1001,3,FALSE())</f>
        <v>South</v>
      </c>
      <c r="N113" t="str">
        <f>VLOOKUP(C113,Customers!$A$2:$F$1001,4,FALSE())</f>
        <v>Corporate</v>
      </c>
    </row>
    <row r="114" spans="1:14" x14ac:dyDescent="0.25">
      <c r="A114">
        <v>113</v>
      </c>
      <c r="B114" t="s">
        <v>1907</v>
      </c>
      <c r="C114" t="s">
        <v>243</v>
      </c>
      <c r="D114" t="s">
        <v>1816</v>
      </c>
      <c r="E114">
        <v>2</v>
      </c>
      <c r="F114">
        <v>25</v>
      </c>
      <c r="G114">
        <v>50</v>
      </c>
      <c r="H114" s="9">
        <v>0.1</v>
      </c>
      <c r="I114">
        <v>1.79</v>
      </c>
      <c r="J114" s="10">
        <f t="shared" si="2"/>
        <v>9</v>
      </c>
      <c r="K114" s="11">
        <f t="shared" si="3"/>
        <v>3.5799999999999998E-2</v>
      </c>
      <c r="L114" t="str">
        <f>VLOOKUP(C114,Customers!$A$2:$F$1001,2,FALSE())</f>
        <v>Andrew Gonzalez</v>
      </c>
      <c r="M114" t="str">
        <f>VLOOKUP(C114,Customers!$A$2:$F$1001,3,FALSE())</f>
        <v>East</v>
      </c>
      <c r="N114" t="str">
        <f>VLOOKUP(C114,Customers!$A$2:$F$1001,4,FALSE())</f>
        <v>Consumer</v>
      </c>
    </row>
    <row r="115" spans="1:14" x14ac:dyDescent="0.25">
      <c r="A115">
        <v>114</v>
      </c>
      <c r="B115" t="s">
        <v>1908</v>
      </c>
      <c r="C115" t="s">
        <v>245</v>
      </c>
      <c r="D115" t="s">
        <v>1812</v>
      </c>
      <c r="E115">
        <v>4</v>
      </c>
      <c r="F115">
        <v>25</v>
      </c>
      <c r="G115">
        <v>100</v>
      </c>
      <c r="H115" s="9">
        <v>0.1</v>
      </c>
      <c r="I115">
        <v>24.09</v>
      </c>
      <c r="J115" s="10">
        <f t="shared" si="2"/>
        <v>7</v>
      </c>
      <c r="K115" s="11">
        <f t="shared" si="3"/>
        <v>0.2409</v>
      </c>
      <c r="L115" t="str">
        <f>VLOOKUP(C115,Customers!$A$2:$F$1001,2,FALSE())</f>
        <v>Kenneth White</v>
      </c>
      <c r="M115" t="str">
        <f>VLOOKUP(C115,Customers!$A$2:$F$1001,3,FALSE())</f>
        <v>West</v>
      </c>
      <c r="N115" t="str">
        <f>VLOOKUP(C115,Customers!$A$2:$F$1001,4,FALSE())</f>
        <v>Corporate</v>
      </c>
    </row>
    <row r="116" spans="1:14" x14ac:dyDescent="0.25">
      <c r="A116">
        <v>115</v>
      </c>
      <c r="B116" t="s">
        <v>1909</v>
      </c>
      <c r="C116" t="s">
        <v>247</v>
      </c>
      <c r="D116" t="s">
        <v>1814</v>
      </c>
      <c r="E116">
        <v>3</v>
      </c>
      <c r="F116">
        <v>500</v>
      </c>
      <c r="G116">
        <v>1500</v>
      </c>
      <c r="H116" s="9">
        <v>0.05</v>
      </c>
      <c r="I116">
        <v>223.95</v>
      </c>
      <c r="J116" s="10">
        <f t="shared" si="2"/>
        <v>11</v>
      </c>
      <c r="K116" s="11">
        <f t="shared" si="3"/>
        <v>0.14929999999999999</v>
      </c>
      <c r="L116" t="str">
        <f>VLOOKUP(C116,Customers!$A$2:$F$1001,2,FALSE())</f>
        <v>Betty Davis</v>
      </c>
      <c r="M116" t="str">
        <f>VLOOKUP(C116,Customers!$A$2:$F$1001,3,FALSE())</f>
        <v>West</v>
      </c>
      <c r="N116" t="str">
        <f>VLOOKUP(C116,Customers!$A$2:$F$1001,4,FALSE())</f>
        <v>Consumer</v>
      </c>
    </row>
    <row r="117" spans="1:14" x14ac:dyDescent="0.25">
      <c r="A117">
        <v>116</v>
      </c>
      <c r="B117" t="s">
        <v>1910</v>
      </c>
      <c r="C117" t="s">
        <v>249</v>
      </c>
      <c r="D117" t="s">
        <v>1814</v>
      </c>
      <c r="E117">
        <v>1</v>
      </c>
      <c r="F117">
        <v>30</v>
      </c>
      <c r="G117">
        <v>30</v>
      </c>
      <c r="H117" s="9">
        <v>0.1</v>
      </c>
      <c r="I117">
        <v>2.5099999999999998</v>
      </c>
      <c r="J117" s="10">
        <f t="shared" si="2"/>
        <v>8</v>
      </c>
      <c r="K117" s="11">
        <f t="shared" si="3"/>
        <v>8.3666666666666653E-2</v>
      </c>
      <c r="L117" t="str">
        <f>VLOOKUP(C117,Customers!$A$2:$F$1001,2,FALSE())</f>
        <v>Lisa Wright</v>
      </c>
      <c r="M117" t="str">
        <f>VLOOKUP(C117,Customers!$A$2:$F$1001,3,FALSE())</f>
        <v>North</v>
      </c>
      <c r="N117" t="str">
        <f>VLOOKUP(C117,Customers!$A$2:$F$1001,4,FALSE())</f>
        <v>Home Office</v>
      </c>
    </row>
    <row r="118" spans="1:14" x14ac:dyDescent="0.25">
      <c r="A118">
        <v>117</v>
      </c>
      <c r="B118" t="s">
        <v>1911</v>
      </c>
      <c r="C118" t="s">
        <v>251</v>
      </c>
      <c r="D118" t="s">
        <v>1816</v>
      </c>
      <c r="E118">
        <v>2</v>
      </c>
      <c r="F118">
        <v>500</v>
      </c>
      <c r="G118">
        <v>1000</v>
      </c>
      <c r="H118" s="9">
        <v>0</v>
      </c>
      <c r="I118">
        <v>123.38</v>
      </c>
      <c r="J118" s="10">
        <f t="shared" si="2"/>
        <v>3</v>
      </c>
      <c r="K118" s="11">
        <f t="shared" si="3"/>
        <v>0.12337999999999999</v>
      </c>
      <c r="L118" t="str">
        <f>VLOOKUP(C118,Customers!$A$2:$F$1001,2,FALSE())</f>
        <v>James Walker</v>
      </c>
      <c r="M118" t="str">
        <f>VLOOKUP(C118,Customers!$A$2:$F$1001,3,FALSE())</f>
        <v>North</v>
      </c>
      <c r="N118" t="str">
        <f>VLOOKUP(C118,Customers!$A$2:$F$1001,4,FALSE())</f>
        <v>Consumer</v>
      </c>
    </row>
    <row r="119" spans="1:14" x14ac:dyDescent="0.25">
      <c r="A119">
        <v>118</v>
      </c>
      <c r="B119" t="s">
        <v>1856</v>
      </c>
      <c r="C119" t="s">
        <v>253</v>
      </c>
      <c r="D119" t="s">
        <v>1816</v>
      </c>
      <c r="E119">
        <v>4</v>
      </c>
      <c r="F119">
        <v>500</v>
      </c>
      <c r="G119">
        <v>2000</v>
      </c>
      <c r="H119" s="9">
        <v>0.1</v>
      </c>
      <c r="I119">
        <v>2.12</v>
      </c>
      <c r="J119" s="10">
        <f t="shared" si="2"/>
        <v>5</v>
      </c>
      <c r="K119" s="11">
        <f t="shared" si="3"/>
        <v>1.06E-3</v>
      </c>
      <c r="L119" t="str">
        <f>VLOOKUP(C119,Customers!$A$2:$F$1001,2,FALSE())</f>
        <v>Matthew Lewis</v>
      </c>
      <c r="M119" t="str">
        <f>VLOOKUP(C119,Customers!$A$2:$F$1001,3,FALSE())</f>
        <v>West</v>
      </c>
      <c r="N119" t="str">
        <f>VLOOKUP(C119,Customers!$A$2:$F$1001,4,FALSE())</f>
        <v>Consumer</v>
      </c>
    </row>
    <row r="120" spans="1:14" x14ac:dyDescent="0.25">
      <c r="A120">
        <v>119</v>
      </c>
      <c r="B120" t="s">
        <v>1820</v>
      </c>
      <c r="C120" t="s">
        <v>255</v>
      </c>
      <c r="D120" t="s">
        <v>1814</v>
      </c>
      <c r="E120">
        <v>3</v>
      </c>
      <c r="F120">
        <v>50</v>
      </c>
      <c r="G120">
        <v>150</v>
      </c>
      <c r="H120" s="9">
        <v>0</v>
      </c>
      <c r="I120">
        <v>34.6</v>
      </c>
      <c r="J120" s="10">
        <f t="shared" si="2"/>
        <v>3</v>
      </c>
      <c r="K120" s="11">
        <f t="shared" si="3"/>
        <v>0.23066666666666669</v>
      </c>
      <c r="L120" t="str">
        <f>VLOOKUP(C120,Customers!$A$2:$F$1001,2,FALSE())</f>
        <v>Kimberly Moore</v>
      </c>
      <c r="M120" t="str">
        <f>VLOOKUP(C120,Customers!$A$2:$F$1001,3,FALSE())</f>
        <v>North</v>
      </c>
      <c r="N120" t="str">
        <f>VLOOKUP(C120,Customers!$A$2:$F$1001,4,FALSE())</f>
        <v>Consumer</v>
      </c>
    </row>
    <row r="121" spans="1:14" x14ac:dyDescent="0.25">
      <c r="A121">
        <v>120</v>
      </c>
      <c r="B121" t="s">
        <v>1912</v>
      </c>
      <c r="C121" t="s">
        <v>257</v>
      </c>
      <c r="D121" t="s">
        <v>1812</v>
      </c>
      <c r="E121">
        <v>1</v>
      </c>
      <c r="F121">
        <v>50</v>
      </c>
      <c r="G121">
        <v>50</v>
      </c>
      <c r="H121" s="9">
        <v>0</v>
      </c>
      <c r="I121">
        <v>18.45</v>
      </c>
      <c r="J121" s="10">
        <f t="shared" si="2"/>
        <v>5</v>
      </c>
      <c r="K121" s="11">
        <f t="shared" si="3"/>
        <v>0.36899999999999999</v>
      </c>
      <c r="L121" t="str">
        <f>VLOOKUP(C121,Customers!$A$2:$F$1001,2,FALSE())</f>
        <v>Jessica Sanchez</v>
      </c>
      <c r="M121" t="str">
        <f>VLOOKUP(C121,Customers!$A$2:$F$1001,3,FALSE())</f>
        <v>West</v>
      </c>
      <c r="N121" t="str">
        <f>VLOOKUP(C121,Customers!$A$2:$F$1001,4,FALSE())</f>
        <v>Consumer</v>
      </c>
    </row>
    <row r="122" spans="1:14" x14ac:dyDescent="0.25">
      <c r="A122">
        <v>121</v>
      </c>
      <c r="B122" t="s">
        <v>1835</v>
      </c>
      <c r="C122" t="s">
        <v>259</v>
      </c>
      <c r="D122" t="s">
        <v>1816</v>
      </c>
      <c r="E122">
        <v>4</v>
      </c>
      <c r="F122">
        <v>50</v>
      </c>
      <c r="G122">
        <v>200</v>
      </c>
      <c r="H122" s="9">
        <v>0</v>
      </c>
      <c r="I122">
        <v>28.99</v>
      </c>
      <c r="J122" s="10">
        <f t="shared" si="2"/>
        <v>10</v>
      </c>
      <c r="K122" s="11">
        <f t="shared" si="3"/>
        <v>0.14495</v>
      </c>
      <c r="L122" t="str">
        <f>VLOOKUP(C122,Customers!$A$2:$F$1001,2,FALSE())</f>
        <v>Linda White</v>
      </c>
      <c r="M122" t="str">
        <f>VLOOKUP(C122,Customers!$A$2:$F$1001,3,FALSE())</f>
        <v>East</v>
      </c>
      <c r="N122" t="str">
        <f>VLOOKUP(C122,Customers!$A$2:$F$1001,4,FALSE())</f>
        <v>Consumer</v>
      </c>
    </row>
    <row r="123" spans="1:14" x14ac:dyDescent="0.25">
      <c r="A123">
        <v>122</v>
      </c>
      <c r="B123" t="s">
        <v>1913</v>
      </c>
      <c r="C123" t="s">
        <v>261</v>
      </c>
      <c r="D123" t="s">
        <v>1816</v>
      </c>
      <c r="E123">
        <v>4</v>
      </c>
      <c r="F123">
        <v>30</v>
      </c>
      <c r="G123">
        <v>120</v>
      </c>
      <c r="H123" s="9">
        <v>0.05</v>
      </c>
      <c r="I123">
        <v>11.51</v>
      </c>
      <c r="J123" s="10">
        <f t="shared" si="2"/>
        <v>10</v>
      </c>
      <c r="K123" s="11">
        <f t="shared" si="3"/>
        <v>9.5916666666666664E-2</v>
      </c>
      <c r="L123" t="str">
        <f>VLOOKUP(C123,Customers!$A$2:$F$1001,2,FALSE())</f>
        <v>John Sanchez</v>
      </c>
      <c r="M123" t="str">
        <f>VLOOKUP(C123,Customers!$A$2:$F$1001,3,FALSE())</f>
        <v>North</v>
      </c>
      <c r="N123" t="str">
        <f>VLOOKUP(C123,Customers!$A$2:$F$1001,4,FALSE())</f>
        <v>Consumer</v>
      </c>
    </row>
    <row r="124" spans="1:14" x14ac:dyDescent="0.25">
      <c r="A124">
        <v>123</v>
      </c>
      <c r="B124" t="s">
        <v>1914</v>
      </c>
      <c r="C124" t="s">
        <v>263</v>
      </c>
      <c r="D124" t="s">
        <v>1816</v>
      </c>
      <c r="E124">
        <v>2</v>
      </c>
      <c r="F124">
        <v>30</v>
      </c>
      <c r="G124">
        <v>60</v>
      </c>
      <c r="H124" s="9">
        <v>0.05</v>
      </c>
      <c r="I124">
        <v>3.2</v>
      </c>
      <c r="J124" s="10">
        <f t="shared" si="2"/>
        <v>5</v>
      </c>
      <c r="K124" s="11">
        <f t="shared" si="3"/>
        <v>5.3333333333333337E-2</v>
      </c>
      <c r="L124" t="str">
        <f>VLOOKUP(C124,Customers!$A$2:$F$1001,2,FALSE())</f>
        <v>Ashley Brown</v>
      </c>
      <c r="M124" t="str">
        <f>VLOOKUP(C124,Customers!$A$2:$F$1001,3,FALSE())</f>
        <v>West</v>
      </c>
      <c r="N124" t="str">
        <f>VLOOKUP(C124,Customers!$A$2:$F$1001,4,FALSE())</f>
        <v>Consumer</v>
      </c>
    </row>
    <row r="125" spans="1:14" x14ac:dyDescent="0.25">
      <c r="A125">
        <v>124</v>
      </c>
      <c r="B125" t="s">
        <v>1915</v>
      </c>
      <c r="C125" t="s">
        <v>265</v>
      </c>
      <c r="D125" t="s">
        <v>1814</v>
      </c>
      <c r="E125">
        <v>4</v>
      </c>
      <c r="F125">
        <v>500</v>
      </c>
      <c r="G125">
        <v>2000</v>
      </c>
      <c r="H125" s="9">
        <v>0.05</v>
      </c>
      <c r="I125">
        <v>352.3</v>
      </c>
      <c r="J125" s="10">
        <f t="shared" si="2"/>
        <v>10</v>
      </c>
      <c r="K125" s="11">
        <f t="shared" si="3"/>
        <v>0.17615</v>
      </c>
      <c r="L125" t="str">
        <f>VLOOKUP(C125,Customers!$A$2:$F$1001,2,FALSE())</f>
        <v>Donna Taylor</v>
      </c>
      <c r="M125" t="str">
        <f>VLOOKUP(C125,Customers!$A$2:$F$1001,3,FALSE())</f>
        <v>North</v>
      </c>
      <c r="N125" t="str">
        <f>VLOOKUP(C125,Customers!$A$2:$F$1001,4,FALSE())</f>
        <v>Consumer</v>
      </c>
    </row>
    <row r="126" spans="1:14" x14ac:dyDescent="0.25">
      <c r="A126">
        <v>125</v>
      </c>
      <c r="B126" t="s">
        <v>1916</v>
      </c>
      <c r="C126" t="s">
        <v>267</v>
      </c>
      <c r="D126" t="s">
        <v>1814</v>
      </c>
      <c r="E126">
        <v>2</v>
      </c>
      <c r="F126">
        <v>50</v>
      </c>
      <c r="G126">
        <v>100</v>
      </c>
      <c r="H126" s="9">
        <v>0</v>
      </c>
      <c r="I126">
        <v>26.76</v>
      </c>
      <c r="J126" s="10">
        <f t="shared" si="2"/>
        <v>8</v>
      </c>
      <c r="K126" s="11">
        <f t="shared" si="3"/>
        <v>0.2676</v>
      </c>
      <c r="L126" t="str">
        <f>VLOOKUP(C126,Customers!$A$2:$F$1001,2,FALSE())</f>
        <v>Michelle Johnson</v>
      </c>
      <c r="M126" t="str">
        <f>VLOOKUP(C126,Customers!$A$2:$F$1001,3,FALSE())</f>
        <v>South</v>
      </c>
      <c r="N126" t="str">
        <f>VLOOKUP(C126,Customers!$A$2:$F$1001,4,FALSE())</f>
        <v>Consumer</v>
      </c>
    </row>
    <row r="127" spans="1:14" x14ac:dyDescent="0.25">
      <c r="A127">
        <v>126</v>
      </c>
      <c r="B127" t="s">
        <v>1917</v>
      </c>
      <c r="C127" t="s">
        <v>269</v>
      </c>
      <c r="D127" t="s">
        <v>1814</v>
      </c>
      <c r="E127">
        <v>3</v>
      </c>
      <c r="F127">
        <v>30</v>
      </c>
      <c r="G127">
        <v>90</v>
      </c>
      <c r="H127" s="9">
        <v>0</v>
      </c>
      <c r="I127">
        <v>24.11</v>
      </c>
      <c r="J127" s="10">
        <f t="shared" si="2"/>
        <v>10</v>
      </c>
      <c r="K127" s="11">
        <f t="shared" si="3"/>
        <v>0.2678888888888889</v>
      </c>
      <c r="L127" t="str">
        <f>VLOOKUP(C127,Customers!$A$2:$F$1001,2,FALSE())</f>
        <v>David Martin</v>
      </c>
      <c r="M127" t="str">
        <f>VLOOKUP(C127,Customers!$A$2:$F$1001,3,FALSE())</f>
        <v>East</v>
      </c>
      <c r="N127" t="str">
        <f>VLOOKUP(C127,Customers!$A$2:$F$1001,4,FALSE())</f>
        <v>Consumer</v>
      </c>
    </row>
    <row r="128" spans="1:14" x14ac:dyDescent="0.25">
      <c r="A128">
        <v>127</v>
      </c>
      <c r="B128" t="s">
        <v>1918</v>
      </c>
      <c r="C128" t="s">
        <v>271</v>
      </c>
      <c r="D128" t="s">
        <v>1814</v>
      </c>
      <c r="E128">
        <v>2</v>
      </c>
      <c r="F128">
        <v>25</v>
      </c>
      <c r="G128">
        <v>50</v>
      </c>
      <c r="H128" s="9">
        <v>0.05</v>
      </c>
      <c r="I128">
        <v>8.41</v>
      </c>
      <c r="J128" s="10">
        <f t="shared" si="2"/>
        <v>7</v>
      </c>
      <c r="K128" s="11">
        <f t="shared" si="3"/>
        <v>0.16820000000000002</v>
      </c>
      <c r="L128" t="str">
        <f>VLOOKUP(C128,Customers!$A$2:$F$1001,2,FALSE())</f>
        <v>Elizabeth Wilson</v>
      </c>
      <c r="M128" t="str">
        <f>VLOOKUP(C128,Customers!$A$2:$F$1001,3,FALSE())</f>
        <v>South</v>
      </c>
      <c r="N128" t="str">
        <f>VLOOKUP(C128,Customers!$A$2:$F$1001,4,FALSE())</f>
        <v>Consumer</v>
      </c>
    </row>
    <row r="129" spans="1:14" x14ac:dyDescent="0.25">
      <c r="A129">
        <v>128</v>
      </c>
      <c r="B129" t="s">
        <v>1867</v>
      </c>
      <c r="C129" t="s">
        <v>273</v>
      </c>
      <c r="D129" t="s">
        <v>1812</v>
      </c>
      <c r="E129">
        <v>1</v>
      </c>
      <c r="F129">
        <v>500</v>
      </c>
      <c r="G129">
        <v>500</v>
      </c>
      <c r="H129" s="9">
        <v>0</v>
      </c>
      <c r="I129">
        <v>177.42</v>
      </c>
      <c r="J129" s="10">
        <f t="shared" si="2"/>
        <v>7</v>
      </c>
      <c r="K129" s="11">
        <f t="shared" si="3"/>
        <v>0.35483999999999999</v>
      </c>
      <c r="L129" t="str">
        <f>VLOOKUP(C129,Customers!$A$2:$F$1001,2,FALSE())</f>
        <v>Kimberly Garcia</v>
      </c>
      <c r="M129" t="str">
        <f>VLOOKUP(C129,Customers!$A$2:$F$1001,3,FALSE())</f>
        <v>East</v>
      </c>
      <c r="N129" t="str">
        <f>VLOOKUP(C129,Customers!$A$2:$F$1001,4,FALSE())</f>
        <v>Consumer</v>
      </c>
    </row>
    <row r="130" spans="1:14" x14ac:dyDescent="0.25">
      <c r="A130">
        <v>129</v>
      </c>
      <c r="B130" t="s">
        <v>1840</v>
      </c>
      <c r="C130" t="s">
        <v>275</v>
      </c>
      <c r="D130" t="s">
        <v>1812</v>
      </c>
      <c r="E130">
        <v>2</v>
      </c>
      <c r="F130">
        <v>300</v>
      </c>
      <c r="G130">
        <v>600</v>
      </c>
      <c r="H130" s="9">
        <v>0.1</v>
      </c>
      <c r="I130">
        <v>177.58</v>
      </c>
      <c r="J130" s="10">
        <f t="shared" ref="J130:J193" si="4">MONTH(B130)</f>
        <v>4</v>
      </c>
      <c r="K130" s="11">
        <f t="shared" ref="K130:K193" si="5">IF(G130=0,0,I130/G130)</f>
        <v>0.29596666666666671</v>
      </c>
      <c r="L130" t="str">
        <f>VLOOKUP(C130,Customers!$A$2:$F$1001,2,FALSE())</f>
        <v>Kimberly Jones</v>
      </c>
      <c r="M130" t="str">
        <f>VLOOKUP(C130,Customers!$A$2:$F$1001,3,FALSE())</f>
        <v>East</v>
      </c>
      <c r="N130" t="str">
        <f>VLOOKUP(C130,Customers!$A$2:$F$1001,4,FALSE())</f>
        <v>Consumer</v>
      </c>
    </row>
    <row r="131" spans="1:14" x14ac:dyDescent="0.25">
      <c r="A131">
        <v>130</v>
      </c>
      <c r="B131" t="s">
        <v>1919</v>
      </c>
      <c r="C131" t="s">
        <v>277</v>
      </c>
      <c r="D131" t="s">
        <v>1814</v>
      </c>
      <c r="E131">
        <v>1</v>
      </c>
      <c r="F131">
        <v>500</v>
      </c>
      <c r="G131">
        <v>500</v>
      </c>
      <c r="H131" s="9">
        <v>0.2</v>
      </c>
      <c r="I131">
        <v>4.74</v>
      </c>
      <c r="J131" s="10">
        <f t="shared" si="4"/>
        <v>3</v>
      </c>
      <c r="K131" s="11">
        <f t="shared" si="5"/>
        <v>9.4800000000000006E-3</v>
      </c>
      <c r="L131" t="str">
        <f>VLOOKUP(C131,Customers!$A$2:$F$1001,2,FALSE())</f>
        <v>David White</v>
      </c>
      <c r="M131" t="str">
        <f>VLOOKUP(C131,Customers!$A$2:$F$1001,3,FALSE())</f>
        <v>West</v>
      </c>
      <c r="N131" t="str">
        <f>VLOOKUP(C131,Customers!$A$2:$F$1001,4,FALSE())</f>
        <v>Consumer</v>
      </c>
    </row>
    <row r="132" spans="1:14" x14ac:dyDescent="0.25">
      <c r="A132">
        <v>131</v>
      </c>
      <c r="B132" t="s">
        <v>1920</v>
      </c>
      <c r="C132" t="s">
        <v>279</v>
      </c>
      <c r="D132" t="s">
        <v>1812</v>
      </c>
      <c r="E132">
        <v>2</v>
      </c>
      <c r="F132">
        <v>300</v>
      </c>
      <c r="G132">
        <v>600</v>
      </c>
      <c r="H132" s="9">
        <v>0.05</v>
      </c>
      <c r="I132">
        <v>161.52000000000001</v>
      </c>
      <c r="J132" s="10">
        <f t="shared" si="4"/>
        <v>9</v>
      </c>
      <c r="K132" s="11">
        <f t="shared" si="5"/>
        <v>0.26919999999999999</v>
      </c>
      <c r="L132" t="str">
        <f>VLOOKUP(C132,Customers!$A$2:$F$1001,2,FALSE())</f>
        <v>Michelle Miller</v>
      </c>
      <c r="M132" t="str">
        <f>VLOOKUP(C132,Customers!$A$2:$F$1001,3,FALSE())</f>
        <v>West</v>
      </c>
      <c r="N132" t="str">
        <f>VLOOKUP(C132,Customers!$A$2:$F$1001,4,FALSE())</f>
        <v>Consumer</v>
      </c>
    </row>
    <row r="133" spans="1:14" x14ac:dyDescent="0.25">
      <c r="A133">
        <v>132</v>
      </c>
      <c r="B133" t="s">
        <v>1921</v>
      </c>
      <c r="C133" t="s">
        <v>281</v>
      </c>
      <c r="D133" t="s">
        <v>1816</v>
      </c>
      <c r="E133">
        <v>4</v>
      </c>
      <c r="F133">
        <v>50</v>
      </c>
      <c r="G133">
        <v>200</v>
      </c>
      <c r="H133" s="9">
        <v>0.2</v>
      </c>
      <c r="I133">
        <v>-10</v>
      </c>
      <c r="J133" s="10">
        <f t="shared" si="4"/>
        <v>9</v>
      </c>
      <c r="K133" s="11">
        <f t="shared" si="5"/>
        <v>-0.05</v>
      </c>
      <c r="L133" t="str">
        <f>VLOOKUP(C133,Customers!$A$2:$F$1001,2,FALSE())</f>
        <v>Joseph Nguyen</v>
      </c>
      <c r="M133" t="str">
        <f>VLOOKUP(C133,Customers!$A$2:$F$1001,3,FALSE())</f>
        <v>South</v>
      </c>
      <c r="N133" t="str">
        <f>VLOOKUP(C133,Customers!$A$2:$F$1001,4,FALSE())</f>
        <v>Corporate</v>
      </c>
    </row>
    <row r="134" spans="1:14" x14ac:dyDescent="0.25">
      <c r="A134">
        <v>133</v>
      </c>
      <c r="B134" t="s">
        <v>1922</v>
      </c>
      <c r="C134" t="s">
        <v>283</v>
      </c>
      <c r="D134" t="s">
        <v>1816</v>
      </c>
      <c r="E134">
        <v>3</v>
      </c>
      <c r="F134">
        <v>300</v>
      </c>
      <c r="G134">
        <v>900</v>
      </c>
      <c r="H134" s="9">
        <v>0</v>
      </c>
      <c r="I134">
        <v>137.49</v>
      </c>
      <c r="J134" s="10">
        <f t="shared" si="4"/>
        <v>2</v>
      </c>
      <c r="K134" s="11">
        <f t="shared" si="5"/>
        <v>0.15276666666666669</v>
      </c>
      <c r="L134" t="str">
        <f>VLOOKUP(C134,Customers!$A$2:$F$1001,2,FALSE())</f>
        <v>Deborah White</v>
      </c>
      <c r="M134" t="str">
        <f>VLOOKUP(C134,Customers!$A$2:$F$1001,3,FALSE())</f>
        <v>North</v>
      </c>
      <c r="N134" t="str">
        <f>VLOOKUP(C134,Customers!$A$2:$F$1001,4,FALSE())</f>
        <v>Home Office</v>
      </c>
    </row>
    <row r="135" spans="1:14" x14ac:dyDescent="0.25">
      <c r="A135">
        <v>134</v>
      </c>
      <c r="B135" t="s">
        <v>1923</v>
      </c>
      <c r="C135" t="s">
        <v>285</v>
      </c>
      <c r="D135" t="s">
        <v>1816</v>
      </c>
      <c r="E135">
        <v>1</v>
      </c>
      <c r="F135">
        <v>50</v>
      </c>
      <c r="G135">
        <v>50</v>
      </c>
      <c r="H135" s="9">
        <v>0</v>
      </c>
      <c r="I135">
        <v>7.27</v>
      </c>
      <c r="J135" s="10">
        <f t="shared" si="4"/>
        <v>1</v>
      </c>
      <c r="K135" s="11">
        <f t="shared" si="5"/>
        <v>0.1454</v>
      </c>
      <c r="L135" t="str">
        <f>VLOOKUP(C135,Customers!$A$2:$F$1001,2,FALSE())</f>
        <v>Daniel Wilson</v>
      </c>
      <c r="M135" t="str">
        <f>VLOOKUP(C135,Customers!$A$2:$F$1001,3,FALSE())</f>
        <v>East</v>
      </c>
      <c r="N135" t="str">
        <f>VLOOKUP(C135,Customers!$A$2:$F$1001,4,FALSE())</f>
        <v>Home Office</v>
      </c>
    </row>
    <row r="136" spans="1:14" x14ac:dyDescent="0.25">
      <c r="A136">
        <v>135</v>
      </c>
      <c r="B136" t="s">
        <v>1924</v>
      </c>
      <c r="C136" t="s">
        <v>287</v>
      </c>
      <c r="D136" t="s">
        <v>1814</v>
      </c>
      <c r="E136">
        <v>2</v>
      </c>
      <c r="F136">
        <v>25</v>
      </c>
      <c r="G136">
        <v>50</v>
      </c>
      <c r="H136" s="9">
        <v>0.1</v>
      </c>
      <c r="I136">
        <v>6.45</v>
      </c>
      <c r="J136" s="10">
        <f t="shared" si="4"/>
        <v>2</v>
      </c>
      <c r="K136" s="11">
        <f t="shared" si="5"/>
        <v>0.129</v>
      </c>
      <c r="L136" t="str">
        <f>VLOOKUP(C136,Customers!$A$2:$F$1001,2,FALSE())</f>
        <v>Donald White</v>
      </c>
      <c r="M136" t="str">
        <f>VLOOKUP(C136,Customers!$A$2:$F$1001,3,FALSE())</f>
        <v>West</v>
      </c>
      <c r="N136" t="str">
        <f>VLOOKUP(C136,Customers!$A$2:$F$1001,4,FALSE())</f>
        <v>Corporate</v>
      </c>
    </row>
    <row r="137" spans="1:14" x14ac:dyDescent="0.25">
      <c r="A137">
        <v>136</v>
      </c>
      <c r="B137" t="s">
        <v>1925</v>
      </c>
      <c r="C137" t="s">
        <v>289</v>
      </c>
      <c r="D137" t="s">
        <v>1816</v>
      </c>
      <c r="E137">
        <v>2</v>
      </c>
      <c r="F137">
        <v>300</v>
      </c>
      <c r="G137">
        <v>600</v>
      </c>
      <c r="H137" s="9">
        <v>0.15</v>
      </c>
      <c r="I137">
        <v>-30</v>
      </c>
      <c r="J137" s="10">
        <f t="shared" si="4"/>
        <v>3</v>
      </c>
      <c r="K137" s="11">
        <f t="shared" si="5"/>
        <v>-0.05</v>
      </c>
      <c r="L137" t="str">
        <f>VLOOKUP(C137,Customers!$A$2:$F$1001,2,FALSE())</f>
        <v>Joseph Smith</v>
      </c>
      <c r="M137" t="str">
        <f>VLOOKUP(C137,Customers!$A$2:$F$1001,3,FALSE())</f>
        <v>South</v>
      </c>
      <c r="N137" t="str">
        <f>VLOOKUP(C137,Customers!$A$2:$F$1001,4,FALSE())</f>
        <v>Corporate</v>
      </c>
    </row>
    <row r="138" spans="1:14" x14ac:dyDescent="0.25">
      <c r="A138">
        <v>137</v>
      </c>
      <c r="B138" t="s">
        <v>1865</v>
      </c>
      <c r="C138" t="s">
        <v>291</v>
      </c>
      <c r="D138" t="s">
        <v>1812</v>
      </c>
      <c r="E138">
        <v>2</v>
      </c>
      <c r="F138">
        <v>500</v>
      </c>
      <c r="G138">
        <v>1000</v>
      </c>
      <c r="H138" s="9">
        <v>0.15</v>
      </c>
      <c r="I138">
        <v>141.12</v>
      </c>
      <c r="J138" s="10">
        <f t="shared" si="4"/>
        <v>11</v>
      </c>
      <c r="K138" s="11">
        <f t="shared" si="5"/>
        <v>0.14112</v>
      </c>
      <c r="L138" t="str">
        <f>VLOOKUP(C138,Customers!$A$2:$F$1001,2,FALSE())</f>
        <v>Linda Hill</v>
      </c>
      <c r="M138" t="str">
        <f>VLOOKUP(C138,Customers!$A$2:$F$1001,3,FALSE())</f>
        <v>South</v>
      </c>
      <c r="N138" t="str">
        <f>VLOOKUP(C138,Customers!$A$2:$F$1001,4,FALSE())</f>
        <v>Consumer</v>
      </c>
    </row>
    <row r="139" spans="1:14" x14ac:dyDescent="0.25">
      <c r="A139">
        <v>138</v>
      </c>
      <c r="B139" t="s">
        <v>1845</v>
      </c>
      <c r="C139" t="s">
        <v>293</v>
      </c>
      <c r="D139" t="s">
        <v>1814</v>
      </c>
      <c r="E139">
        <v>4</v>
      </c>
      <c r="F139">
        <v>50</v>
      </c>
      <c r="G139">
        <v>200</v>
      </c>
      <c r="H139" s="9">
        <v>0</v>
      </c>
      <c r="I139">
        <v>49.1</v>
      </c>
      <c r="J139" s="10">
        <f t="shared" si="4"/>
        <v>3</v>
      </c>
      <c r="K139" s="11">
        <f t="shared" si="5"/>
        <v>0.2455</v>
      </c>
      <c r="L139" t="str">
        <f>VLOOKUP(C139,Customers!$A$2:$F$1001,2,FALSE())</f>
        <v>Christopher Martin</v>
      </c>
      <c r="M139" t="str">
        <f>VLOOKUP(C139,Customers!$A$2:$F$1001,3,FALSE())</f>
        <v>South</v>
      </c>
      <c r="N139" t="str">
        <f>VLOOKUP(C139,Customers!$A$2:$F$1001,4,FALSE())</f>
        <v>Corporate</v>
      </c>
    </row>
    <row r="140" spans="1:14" x14ac:dyDescent="0.25">
      <c r="A140">
        <v>139</v>
      </c>
      <c r="B140" t="s">
        <v>1926</v>
      </c>
      <c r="C140" t="s">
        <v>295</v>
      </c>
      <c r="D140" t="s">
        <v>1812</v>
      </c>
      <c r="E140">
        <v>4</v>
      </c>
      <c r="F140">
        <v>500</v>
      </c>
      <c r="G140">
        <v>2000</v>
      </c>
      <c r="H140" s="9">
        <v>0.15</v>
      </c>
      <c r="I140">
        <v>330.08</v>
      </c>
      <c r="J140" s="10">
        <f t="shared" si="4"/>
        <v>12</v>
      </c>
      <c r="K140" s="11">
        <f t="shared" si="5"/>
        <v>0.16503999999999999</v>
      </c>
      <c r="L140" t="str">
        <f>VLOOKUP(C140,Customers!$A$2:$F$1001,2,FALSE())</f>
        <v>Lisa Young</v>
      </c>
      <c r="M140" t="str">
        <f>VLOOKUP(C140,Customers!$A$2:$F$1001,3,FALSE())</f>
        <v>North</v>
      </c>
      <c r="N140" t="str">
        <f>VLOOKUP(C140,Customers!$A$2:$F$1001,4,FALSE())</f>
        <v>Corporate</v>
      </c>
    </row>
    <row r="141" spans="1:14" x14ac:dyDescent="0.25">
      <c r="A141">
        <v>140</v>
      </c>
      <c r="B141" t="s">
        <v>1826</v>
      </c>
      <c r="C141" t="s">
        <v>297</v>
      </c>
      <c r="D141" t="s">
        <v>1816</v>
      </c>
      <c r="E141">
        <v>1</v>
      </c>
      <c r="F141">
        <v>30</v>
      </c>
      <c r="G141">
        <v>30</v>
      </c>
      <c r="H141" s="9">
        <v>0.05</v>
      </c>
      <c r="I141">
        <v>2.19</v>
      </c>
      <c r="J141" s="10">
        <f t="shared" si="4"/>
        <v>8</v>
      </c>
      <c r="K141" s="11">
        <f t="shared" si="5"/>
        <v>7.2999999999999995E-2</v>
      </c>
      <c r="L141" t="str">
        <f>VLOOKUP(C141,Customers!$A$2:$F$1001,2,FALSE())</f>
        <v>Patricia Brown</v>
      </c>
      <c r="M141" t="str">
        <f>VLOOKUP(C141,Customers!$A$2:$F$1001,3,FALSE())</f>
        <v>East</v>
      </c>
      <c r="N141" t="str">
        <f>VLOOKUP(C141,Customers!$A$2:$F$1001,4,FALSE())</f>
        <v>Home Office</v>
      </c>
    </row>
    <row r="142" spans="1:14" x14ac:dyDescent="0.25">
      <c r="A142">
        <v>141</v>
      </c>
      <c r="B142" t="s">
        <v>1927</v>
      </c>
      <c r="C142" t="s">
        <v>298</v>
      </c>
      <c r="D142" t="s">
        <v>1816</v>
      </c>
      <c r="E142">
        <v>1</v>
      </c>
      <c r="F142">
        <v>50</v>
      </c>
      <c r="G142">
        <v>50</v>
      </c>
      <c r="H142" s="9">
        <v>0.05</v>
      </c>
      <c r="I142">
        <v>4.2300000000000004</v>
      </c>
      <c r="J142" s="10">
        <f t="shared" si="4"/>
        <v>11</v>
      </c>
      <c r="K142" s="11">
        <f t="shared" si="5"/>
        <v>8.4600000000000009E-2</v>
      </c>
      <c r="L142" t="str">
        <f>VLOOKUP(C142,Customers!$A$2:$F$1001,2,FALSE())</f>
        <v>Susan Martin</v>
      </c>
      <c r="M142" t="str">
        <f>VLOOKUP(C142,Customers!$A$2:$F$1001,3,FALSE())</f>
        <v>South</v>
      </c>
      <c r="N142" t="str">
        <f>VLOOKUP(C142,Customers!$A$2:$F$1001,4,FALSE())</f>
        <v>Home Office</v>
      </c>
    </row>
    <row r="143" spans="1:14" x14ac:dyDescent="0.25">
      <c r="A143">
        <v>142</v>
      </c>
      <c r="B143" t="s">
        <v>1928</v>
      </c>
      <c r="C143" t="s">
        <v>300</v>
      </c>
      <c r="D143" t="s">
        <v>1816</v>
      </c>
      <c r="E143">
        <v>4</v>
      </c>
      <c r="F143">
        <v>300</v>
      </c>
      <c r="G143">
        <v>1200</v>
      </c>
      <c r="H143" s="9">
        <v>0</v>
      </c>
      <c r="I143">
        <v>182.2</v>
      </c>
      <c r="J143" s="10">
        <f t="shared" si="4"/>
        <v>2</v>
      </c>
      <c r="K143" s="11">
        <f t="shared" si="5"/>
        <v>0.15183333333333332</v>
      </c>
      <c r="L143" t="str">
        <f>VLOOKUP(C143,Customers!$A$2:$F$1001,2,FALSE())</f>
        <v>Kimberly Martin</v>
      </c>
      <c r="M143" t="str">
        <f>VLOOKUP(C143,Customers!$A$2:$F$1001,3,FALSE())</f>
        <v>West</v>
      </c>
      <c r="N143" t="str">
        <f>VLOOKUP(C143,Customers!$A$2:$F$1001,4,FALSE())</f>
        <v>Consumer</v>
      </c>
    </row>
    <row r="144" spans="1:14" x14ac:dyDescent="0.25">
      <c r="A144">
        <v>143</v>
      </c>
      <c r="B144" t="s">
        <v>1929</v>
      </c>
      <c r="C144" t="s">
        <v>302</v>
      </c>
      <c r="D144" t="s">
        <v>1814</v>
      </c>
      <c r="E144">
        <v>1</v>
      </c>
      <c r="F144">
        <v>50</v>
      </c>
      <c r="G144">
        <v>50</v>
      </c>
      <c r="H144" s="9">
        <v>0.25</v>
      </c>
      <c r="I144">
        <v>-1.17</v>
      </c>
      <c r="J144" s="10">
        <f t="shared" si="4"/>
        <v>7</v>
      </c>
      <c r="K144" s="11">
        <f t="shared" si="5"/>
        <v>-2.3399999999999997E-2</v>
      </c>
      <c r="L144" t="str">
        <f>VLOOKUP(C144,Customers!$A$2:$F$1001,2,FALSE())</f>
        <v>Daniel Nguyen</v>
      </c>
      <c r="M144" t="str">
        <f>VLOOKUP(C144,Customers!$A$2:$F$1001,3,FALSE())</f>
        <v>West</v>
      </c>
      <c r="N144" t="str">
        <f>VLOOKUP(C144,Customers!$A$2:$F$1001,4,FALSE())</f>
        <v>Corporate</v>
      </c>
    </row>
    <row r="145" spans="1:14" x14ac:dyDescent="0.25">
      <c r="A145">
        <v>144</v>
      </c>
      <c r="B145" t="s">
        <v>1930</v>
      </c>
      <c r="C145" t="s">
        <v>304</v>
      </c>
      <c r="D145" t="s">
        <v>1812</v>
      </c>
      <c r="E145">
        <v>3</v>
      </c>
      <c r="F145">
        <v>500</v>
      </c>
      <c r="G145">
        <v>1500</v>
      </c>
      <c r="H145" s="9">
        <v>0</v>
      </c>
      <c r="I145">
        <v>520.54</v>
      </c>
      <c r="J145" s="10">
        <f t="shared" si="4"/>
        <v>7</v>
      </c>
      <c r="K145" s="11">
        <f t="shared" si="5"/>
        <v>0.34702666666666665</v>
      </c>
      <c r="L145" t="str">
        <f>VLOOKUP(C145,Customers!$A$2:$F$1001,2,FALSE())</f>
        <v>David Thompson</v>
      </c>
      <c r="M145" t="str">
        <f>VLOOKUP(C145,Customers!$A$2:$F$1001,3,FALSE())</f>
        <v>West</v>
      </c>
      <c r="N145" t="str">
        <f>VLOOKUP(C145,Customers!$A$2:$F$1001,4,FALSE())</f>
        <v>Home Office</v>
      </c>
    </row>
    <row r="146" spans="1:14" x14ac:dyDescent="0.25">
      <c r="A146">
        <v>145</v>
      </c>
      <c r="B146" t="s">
        <v>1927</v>
      </c>
      <c r="C146" t="s">
        <v>306</v>
      </c>
      <c r="D146" t="s">
        <v>1814</v>
      </c>
      <c r="E146">
        <v>3</v>
      </c>
      <c r="F146">
        <v>25</v>
      </c>
      <c r="G146">
        <v>75</v>
      </c>
      <c r="H146" s="9">
        <v>0.15</v>
      </c>
      <c r="I146">
        <v>6.15</v>
      </c>
      <c r="J146" s="10">
        <f t="shared" si="4"/>
        <v>11</v>
      </c>
      <c r="K146" s="11">
        <f t="shared" si="5"/>
        <v>8.2000000000000003E-2</v>
      </c>
      <c r="L146" t="str">
        <f>VLOOKUP(C146,Customers!$A$2:$F$1001,2,FALSE())</f>
        <v>Betty Jackson</v>
      </c>
      <c r="M146" t="str">
        <f>VLOOKUP(C146,Customers!$A$2:$F$1001,3,FALSE())</f>
        <v>South</v>
      </c>
      <c r="N146" t="str">
        <f>VLOOKUP(C146,Customers!$A$2:$F$1001,4,FALSE())</f>
        <v>Consumer</v>
      </c>
    </row>
    <row r="147" spans="1:14" x14ac:dyDescent="0.25">
      <c r="A147">
        <v>146</v>
      </c>
      <c r="B147" t="s">
        <v>1931</v>
      </c>
      <c r="C147" t="s">
        <v>307</v>
      </c>
      <c r="D147" t="s">
        <v>1814</v>
      </c>
      <c r="E147">
        <v>4</v>
      </c>
      <c r="F147">
        <v>50</v>
      </c>
      <c r="G147">
        <v>200</v>
      </c>
      <c r="H147" s="9">
        <v>0.1</v>
      </c>
      <c r="I147">
        <v>22.75</v>
      </c>
      <c r="J147" s="10">
        <f t="shared" si="4"/>
        <v>8</v>
      </c>
      <c r="K147" s="11">
        <f t="shared" si="5"/>
        <v>0.11375</v>
      </c>
      <c r="L147" t="str">
        <f>VLOOKUP(C147,Customers!$A$2:$F$1001,2,FALSE())</f>
        <v>Kenneth Hernandez</v>
      </c>
      <c r="M147" t="str">
        <f>VLOOKUP(C147,Customers!$A$2:$F$1001,3,FALSE())</f>
        <v>South</v>
      </c>
      <c r="N147" t="str">
        <f>VLOOKUP(C147,Customers!$A$2:$F$1001,4,FALSE())</f>
        <v>Home Office</v>
      </c>
    </row>
    <row r="148" spans="1:14" x14ac:dyDescent="0.25">
      <c r="A148">
        <v>147</v>
      </c>
      <c r="B148" t="s">
        <v>1932</v>
      </c>
      <c r="C148" t="s">
        <v>309</v>
      </c>
      <c r="D148" t="s">
        <v>1816</v>
      </c>
      <c r="E148">
        <v>1</v>
      </c>
      <c r="F148">
        <v>300</v>
      </c>
      <c r="G148">
        <v>300</v>
      </c>
      <c r="H148" s="9">
        <v>0.1</v>
      </c>
      <c r="I148">
        <v>14.15</v>
      </c>
      <c r="J148" s="10">
        <f t="shared" si="4"/>
        <v>9</v>
      </c>
      <c r="K148" s="11">
        <f t="shared" si="5"/>
        <v>4.7166666666666669E-2</v>
      </c>
      <c r="L148" t="str">
        <f>VLOOKUP(C148,Customers!$A$2:$F$1001,2,FALSE())</f>
        <v>Melissa Wilson</v>
      </c>
      <c r="M148" t="str">
        <f>VLOOKUP(C148,Customers!$A$2:$F$1001,3,FALSE())</f>
        <v>East</v>
      </c>
      <c r="N148" t="str">
        <f>VLOOKUP(C148,Customers!$A$2:$F$1001,4,FALSE())</f>
        <v>Consumer</v>
      </c>
    </row>
    <row r="149" spans="1:14" x14ac:dyDescent="0.25">
      <c r="A149">
        <v>148</v>
      </c>
      <c r="B149" t="s">
        <v>1933</v>
      </c>
      <c r="C149" t="s">
        <v>311</v>
      </c>
      <c r="D149" t="s">
        <v>1814</v>
      </c>
      <c r="E149">
        <v>2</v>
      </c>
      <c r="F149">
        <v>30</v>
      </c>
      <c r="G149">
        <v>60</v>
      </c>
      <c r="H149" s="9">
        <v>0.1</v>
      </c>
      <c r="I149">
        <v>8.48</v>
      </c>
      <c r="J149" s="10">
        <f t="shared" si="4"/>
        <v>5</v>
      </c>
      <c r="K149" s="11">
        <f t="shared" si="5"/>
        <v>0.14133333333333334</v>
      </c>
      <c r="L149" t="str">
        <f>VLOOKUP(C149,Customers!$A$2:$F$1001,2,FALSE())</f>
        <v>Betty Lee</v>
      </c>
      <c r="M149" t="str">
        <f>VLOOKUP(C149,Customers!$A$2:$F$1001,3,FALSE())</f>
        <v>West</v>
      </c>
      <c r="N149" t="str">
        <f>VLOOKUP(C149,Customers!$A$2:$F$1001,4,FALSE())</f>
        <v>Home Office</v>
      </c>
    </row>
    <row r="150" spans="1:14" x14ac:dyDescent="0.25">
      <c r="A150">
        <v>149</v>
      </c>
      <c r="B150" t="s">
        <v>1934</v>
      </c>
      <c r="C150" t="s">
        <v>313</v>
      </c>
      <c r="D150" t="s">
        <v>1814</v>
      </c>
      <c r="E150">
        <v>3</v>
      </c>
      <c r="F150">
        <v>25</v>
      </c>
      <c r="G150">
        <v>75</v>
      </c>
      <c r="H150" s="9">
        <v>0.15</v>
      </c>
      <c r="I150">
        <v>7.2</v>
      </c>
      <c r="J150" s="10">
        <f t="shared" si="4"/>
        <v>10</v>
      </c>
      <c r="K150" s="11">
        <f t="shared" si="5"/>
        <v>9.6000000000000002E-2</v>
      </c>
      <c r="L150" t="str">
        <f>VLOOKUP(C150,Customers!$A$2:$F$1001,2,FALSE())</f>
        <v>Kevin Moore</v>
      </c>
      <c r="M150" t="str">
        <f>VLOOKUP(C150,Customers!$A$2:$F$1001,3,FALSE())</f>
        <v>South</v>
      </c>
      <c r="N150" t="str">
        <f>VLOOKUP(C150,Customers!$A$2:$F$1001,4,FALSE())</f>
        <v>Corporate</v>
      </c>
    </row>
    <row r="151" spans="1:14" x14ac:dyDescent="0.25">
      <c r="A151">
        <v>150</v>
      </c>
      <c r="B151" t="s">
        <v>1935</v>
      </c>
      <c r="C151" t="s">
        <v>315</v>
      </c>
      <c r="D151" t="s">
        <v>1816</v>
      </c>
      <c r="E151">
        <v>4</v>
      </c>
      <c r="F151">
        <v>30</v>
      </c>
      <c r="G151">
        <v>120</v>
      </c>
      <c r="H151" s="9">
        <v>0</v>
      </c>
      <c r="I151">
        <v>20.57</v>
      </c>
      <c r="J151" s="10">
        <f t="shared" si="4"/>
        <v>1</v>
      </c>
      <c r="K151" s="11">
        <f t="shared" si="5"/>
        <v>0.17141666666666666</v>
      </c>
      <c r="L151" t="str">
        <f>VLOOKUP(C151,Customers!$A$2:$F$1001,2,FALSE())</f>
        <v>Joseph Smith</v>
      </c>
      <c r="M151" t="str">
        <f>VLOOKUP(C151,Customers!$A$2:$F$1001,3,FALSE())</f>
        <v>West</v>
      </c>
      <c r="N151" t="str">
        <f>VLOOKUP(C151,Customers!$A$2:$F$1001,4,FALSE())</f>
        <v>Consumer</v>
      </c>
    </row>
    <row r="152" spans="1:14" x14ac:dyDescent="0.25">
      <c r="A152">
        <v>151</v>
      </c>
      <c r="B152" t="s">
        <v>1926</v>
      </c>
      <c r="C152" t="s">
        <v>316</v>
      </c>
      <c r="D152" t="s">
        <v>1814</v>
      </c>
      <c r="E152">
        <v>1</v>
      </c>
      <c r="F152">
        <v>50</v>
      </c>
      <c r="G152">
        <v>50</v>
      </c>
      <c r="H152" s="9">
        <v>0</v>
      </c>
      <c r="I152">
        <v>13.38</v>
      </c>
      <c r="J152" s="10">
        <f t="shared" si="4"/>
        <v>12</v>
      </c>
      <c r="K152" s="11">
        <f t="shared" si="5"/>
        <v>0.2676</v>
      </c>
      <c r="L152" t="str">
        <f>VLOOKUP(C152,Customers!$A$2:$F$1001,2,FALSE())</f>
        <v>Charles King</v>
      </c>
      <c r="M152" t="str">
        <f>VLOOKUP(C152,Customers!$A$2:$F$1001,3,FALSE())</f>
        <v>North</v>
      </c>
      <c r="N152" t="str">
        <f>VLOOKUP(C152,Customers!$A$2:$F$1001,4,FALSE())</f>
        <v>Corporate</v>
      </c>
    </row>
    <row r="153" spans="1:14" x14ac:dyDescent="0.25">
      <c r="A153">
        <v>152</v>
      </c>
      <c r="B153" t="s">
        <v>1936</v>
      </c>
      <c r="C153" t="s">
        <v>318</v>
      </c>
      <c r="D153" t="s">
        <v>1816</v>
      </c>
      <c r="E153">
        <v>4</v>
      </c>
      <c r="F153">
        <v>500</v>
      </c>
      <c r="G153">
        <v>2000</v>
      </c>
      <c r="H153" s="9">
        <v>0.1</v>
      </c>
      <c r="I153">
        <v>54.09</v>
      </c>
      <c r="J153" s="10">
        <f t="shared" si="4"/>
        <v>2</v>
      </c>
      <c r="K153" s="11">
        <f t="shared" si="5"/>
        <v>2.7045000000000003E-2</v>
      </c>
      <c r="L153" t="str">
        <f>VLOOKUP(C153,Customers!$A$2:$F$1001,2,FALSE())</f>
        <v>James Scott</v>
      </c>
      <c r="M153" t="str">
        <f>VLOOKUP(C153,Customers!$A$2:$F$1001,3,FALSE())</f>
        <v>West</v>
      </c>
      <c r="N153" t="str">
        <f>VLOOKUP(C153,Customers!$A$2:$F$1001,4,FALSE())</f>
        <v>Consumer</v>
      </c>
    </row>
    <row r="154" spans="1:14" x14ac:dyDescent="0.25">
      <c r="A154">
        <v>153</v>
      </c>
      <c r="B154" t="s">
        <v>1886</v>
      </c>
      <c r="C154" t="s">
        <v>320</v>
      </c>
      <c r="D154" t="s">
        <v>1816</v>
      </c>
      <c r="E154">
        <v>2</v>
      </c>
      <c r="F154">
        <v>500</v>
      </c>
      <c r="G154">
        <v>1000</v>
      </c>
      <c r="H154" s="9">
        <v>0.05</v>
      </c>
      <c r="I154">
        <v>97.35</v>
      </c>
      <c r="J154" s="10">
        <f t="shared" si="4"/>
        <v>12</v>
      </c>
      <c r="K154" s="11">
        <f t="shared" si="5"/>
        <v>9.7349999999999992E-2</v>
      </c>
      <c r="L154" t="str">
        <f>VLOOKUP(C154,Customers!$A$2:$F$1001,2,FALSE())</f>
        <v>Betty Garcia</v>
      </c>
      <c r="M154" t="str">
        <f>VLOOKUP(C154,Customers!$A$2:$F$1001,3,FALSE())</f>
        <v>North</v>
      </c>
      <c r="N154" t="str">
        <f>VLOOKUP(C154,Customers!$A$2:$F$1001,4,FALSE())</f>
        <v>Corporate</v>
      </c>
    </row>
    <row r="155" spans="1:14" x14ac:dyDescent="0.25">
      <c r="A155">
        <v>154</v>
      </c>
      <c r="B155" t="s">
        <v>1859</v>
      </c>
      <c r="C155" t="s">
        <v>322</v>
      </c>
      <c r="D155" t="s">
        <v>1816</v>
      </c>
      <c r="E155">
        <v>3</v>
      </c>
      <c r="F155">
        <v>300</v>
      </c>
      <c r="G155">
        <v>900</v>
      </c>
      <c r="H155" s="9">
        <v>0</v>
      </c>
      <c r="I155">
        <v>163.71</v>
      </c>
      <c r="J155" s="10">
        <f t="shared" si="4"/>
        <v>10</v>
      </c>
      <c r="K155" s="11">
        <f t="shared" si="5"/>
        <v>0.18190000000000001</v>
      </c>
      <c r="L155" t="str">
        <f>VLOOKUP(C155,Customers!$A$2:$F$1001,2,FALSE())</f>
        <v>Jessica Thompson</v>
      </c>
      <c r="M155" t="str">
        <f>VLOOKUP(C155,Customers!$A$2:$F$1001,3,FALSE())</f>
        <v>North</v>
      </c>
      <c r="N155" t="str">
        <f>VLOOKUP(C155,Customers!$A$2:$F$1001,4,FALSE())</f>
        <v>Corporate</v>
      </c>
    </row>
    <row r="156" spans="1:14" x14ac:dyDescent="0.25">
      <c r="A156">
        <v>155</v>
      </c>
      <c r="B156" t="s">
        <v>1885</v>
      </c>
      <c r="C156" t="s">
        <v>324</v>
      </c>
      <c r="D156" t="s">
        <v>1816</v>
      </c>
      <c r="E156">
        <v>4</v>
      </c>
      <c r="F156">
        <v>500</v>
      </c>
      <c r="G156">
        <v>2000</v>
      </c>
      <c r="H156" s="9">
        <v>0</v>
      </c>
      <c r="I156">
        <v>260.88</v>
      </c>
      <c r="J156" s="10">
        <f t="shared" si="4"/>
        <v>5</v>
      </c>
      <c r="K156" s="11">
        <f t="shared" si="5"/>
        <v>0.13044</v>
      </c>
      <c r="L156" t="str">
        <f>VLOOKUP(C156,Customers!$A$2:$F$1001,2,FALSE())</f>
        <v>Jessica Jones</v>
      </c>
      <c r="M156" t="str">
        <f>VLOOKUP(C156,Customers!$A$2:$F$1001,3,FALSE())</f>
        <v>East</v>
      </c>
      <c r="N156" t="str">
        <f>VLOOKUP(C156,Customers!$A$2:$F$1001,4,FALSE())</f>
        <v>Corporate</v>
      </c>
    </row>
    <row r="157" spans="1:14" x14ac:dyDescent="0.25">
      <c r="A157">
        <v>156</v>
      </c>
      <c r="B157" t="s">
        <v>1937</v>
      </c>
      <c r="C157" t="s">
        <v>326</v>
      </c>
      <c r="D157" t="s">
        <v>1814</v>
      </c>
      <c r="E157">
        <v>4</v>
      </c>
      <c r="F157">
        <v>25</v>
      </c>
      <c r="G157">
        <v>100</v>
      </c>
      <c r="H157" s="9">
        <v>0.05</v>
      </c>
      <c r="I157">
        <v>17.11</v>
      </c>
      <c r="J157" s="10">
        <f t="shared" si="4"/>
        <v>11</v>
      </c>
      <c r="K157" s="11">
        <f t="shared" si="5"/>
        <v>0.1711</v>
      </c>
      <c r="L157" t="str">
        <f>VLOOKUP(C157,Customers!$A$2:$F$1001,2,FALSE())</f>
        <v>Kimberly Clark</v>
      </c>
      <c r="M157" t="str">
        <f>VLOOKUP(C157,Customers!$A$2:$F$1001,3,FALSE())</f>
        <v>North</v>
      </c>
      <c r="N157" t="str">
        <f>VLOOKUP(C157,Customers!$A$2:$F$1001,4,FALSE())</f>
        <v>Home Office</v>
      </c>
    </row>
    <row r="158" spans="1:14" x14ac:dyDescent="0.25">
      <c r="A158">
        <v>157</v>
      </c>
      <c r="B158" t="s">
        <v>1847</v>
      </c>
      <c r="C158" t="s">
        <v>328</v>
      </c>
      <c r="D158" t="s">
        <v>1816</v>
      </c>
      <c r="E158">
        <v>4</v>
      </c>
      <c r="F158">
        <v>500</v>
      </c>
      <c r="G158">
        <v>2000</v>
      </c>
      <c r="H158" s="9">
        <v>0</v>
      </c>
      <c r="I158">
        <v>310.89</v>
      </c>
      <c r="J158" s="10">
        <f t="shared" si="4"/>
        <v>6</v>
      </c>
      <c r="K158" s="11">
        <f t="shared" si="5"/>
        <v>0.155445</v>
      </c>
      <c r="L158" t="str">
        <f>VLOOKUP(C158,Customers!$A$2:$F$1001,2,FALSE())</f>
        <v>Jennifer Lopez</v>
      </c>
      <c r="M158" t="str">
        <f>VLOOKUP(C158,Customers!$A$2:$F$1001,3,FALSE())</f>
        <v>North</v>
      </c>
      <c r="N158" t="str">
        <f>VLOOKUP(C158,Customers!$A$2:$F$1001,4,FALSE())</f>
        <v>Consumer</v>
      </c>
    </row>
    <row r="159" spans="1:14" x14ac:dyDescent="0.25">
      <c r="A159">
        <v>158</v>
      </c>
      <c r="B159" t="s">
        <v>1813</v>
      </c>
      <c r="C159" t="s">
        <v>330</v>
      </c>
      <c r="D159" t="s">
        <v>1816</v>
      </c>
      <c r="E159">
        <v>2</v>
      </c>
      <c r="F159">
        <v>300</v>
      </c>
      <c r="G159">
        <v>600</v>
      </c>
      <c r="H159" s="9">
        <v>0</v>
      </c>
      <c r="I159">
        <v>97.48</v>
      </c>
      <c r="J159" s="10">
        <f t="shared" si="4"/>
        <v>2</v>
      </c>
      <c r="K159" s="11">
        <f t="shared" si="5"/>
        <v>0.16246666666666668</v>
      </c>
      <c r="L159" t="str">
        <f>VLOOKUP(C159,Customers!$A$2:$F$1001,2,FALSE())</f>
        <v>Richard Clark</v>
      </c>
      <c r="M159" t="str">
        <f>VLOOKUP(C159,Customers!$A$2:$F$1001,3,FALSE())</f>
        <v>North</v>
      </c>
      <c r="N159" t="str">
        <f>VLOOKUP(C159,Customers!$A$2:$F$1001,4,FALSE())</f>
        <v>Consumer</v>
      </c>
    </row>
    <row r="160" spans="1:14" x14ac:dyDescent="0.25">
      <c r="A160">
        <v>159</v>
      </c>
      <c r="B160" t="s">
        <v>1864</v>
      </c>
      <c r="C160" t="s">
        <v>332</v>
      </c>
      <c r="D160" t="s">
        <v>1814</v>
      </c>
      <c r="E160">
        <v>4</v>
      </c>
      <c r="F160">
        <v>50</v>
      </c>
      <c r="G160">
        <v>200</v>
      </c>
      <c r="H160" s="9">
        <v>0.2</v>
      </c>
      <c r="I160">
        <v>-2.94</v>
      </c>
      <c r="J160" s="10">
        <f t="shared" si="4"/>
        <v>5</v>
      </c>
      <c r="K160" s="11">
        <f t="shared" si="5"/>
        <v>-1.47E-2</v>
      </c>
      <c r="L160" t="str">
        <f>VLOOKUP(C160,Customers!$A$2:$F$1001,2,FALSE())</f>
        <v>Andrew Robinson</v>
      </c>
      <c r="M160" t="str">
        <f>VLOOKUP(C160,Customers!$A$2:$F$1001,3,FALSE())</f>
        <v>South</v>
      </c>
      <c r="N160" t="str">
        <f>VLOOKUP(C160,Customers!$A$2:$F$1001,4,FALSE())</f>
        <v>Consumer</v>
      </c>
    </row>
    <row r="161" spans="1:14" x14ac:dyDescent="0.25">
      <c r="A161">
        <v>160</v>
      </c>
      <c r="B161" t="s">
        <v>1938</v>
      </c>
      <c r="C161" t="s">
        <v>334</v>
      </c>
      <c r="D161" t="s">
        <v>1814</v>
      </c>
      <c r="E161">
        <v>2</v>
      </c>
      <c r="F161">
        <v>50</v>
      </c>
      <c r="G161">
        <v>100</v>
      </c>
      <c r="H161" s="9">
        <v>0.05</v>
      </c>
      <c r="I161">
        <v>18.78</v>
      </c>
      <c r="J161" s="10">
        <f t="shared" si="4"/>
        <v>8</v>
      </c>
      <c r="K161" s="11">
        <f t="shared" si="5"/>
        <v>0.18780000000000002</v>
      </c>
      <c r="L161" t="str">
        <f>VLOOKUP(C161,Customers!$A$2:$F$1001,2,FALSE())</f>
        <v>George Walker</v>
      </c>
      <c r="M161" t="str">
        <f>VLOOKUP(C161,Customers!$A$2:$F$1001,3,FALSE())</f>
        <v>East</v>
      </c>
      <c r="N161" t="str">
        <f>VLOOKUP(C161,Customers!$A$2:$F$1001,4,FALSE())</f>
        <v>Consumer</v>
      </c>
    </row>
    <row r="162" spans="1:14" x14ac:dyDescent="0.25">
      <c r="A162">
        <v>161</v>
      </c>
      <c r="B162" t="s">
        <v>1939</v>
      </c>
      <c r="C162" t="s">
        <v>336</v>
      </c>
      <c r="D162" t="s">
        <v>1812</v>
      </c>
      <c r="E162">
        <v>2</v>
      </c>
      <c r="F162">
        <v>500</v>
      </c>
      <c r="G162">
        <v>1000</v>
      </c>
      <c r="H162" s="9">
        <v>0.25</v>
      </c>
      <c r="I162">
        <v>47.18</v>
      </c>
      <c r="J162" s="10">
        <f t="shared" si="4"/>
        <v>3</v>
      </c>
      <c r="K162" s="11">
        <f t="shared" si="5"/>
        <v>4.718E-2</v>
      </c>
      <c r="L162" t="str">
        <f>VLOOKUP(C162,Customers!$A$2:$F$1001,2,FALSE())</f>
        <v>Thomas Jones</v>
      </c>
      <c r="M162" t="str">
        <f>VLOOKUP(C162,Customers!$A$2:$F$1001,3,FALSE())</f>
        <v>North</v>
      </c>
      <c r="N162" t="str">
        <f>VLOOKUP(C162,Customers!$A$2:$F$1001,4,FALSE())</f>
        <v>Consumer</v>
      </c>
    </row>
    <row r="163" spans="1:14" x14ac:dyDescent="0.25">
      <c r="A163">
        <v>162</v>
      </c>
      <c r="B163" t="s">
        <v>1877</v>
      </c>
      <c r="C163" t="s">
        <v>338</v>
      </c>
      <c r="D163" t="s">
        <v>1814</v>
      </c>
      <c r="E163">
        <v>2</v>
      </c>
      <c r="F163">
        <v>30</v>
      </c>
      <c r="G163">
        <v>60</v>
      </c>
      <c r="H163" s="9">
        <v>0.25</v>
      </c>
      <c r="I163">
        <v>-3</v>
      </c>
      <c r="J163" s="10">
        <f t="shared" si="4"/>
        <v>8</v>
      </c>
      <c r="K163" s="11">
        <f t="shared" si="5"/>
        <v>-0.05</v>
      </c>
      <c r="L163" t="str">
        <f>VLOOKUP(C163,Customers!$A$2:$F$1001,2,FALSE())</f>
        <v>Donald Torres</v>
      </c>
      <c r="M163" t="str">
        <f>VLOOKUP(C163,Customers!$A$2:$F$1001,3,FALSE())</f>
        <v>East</v>
      </c>
      <c r="N163" t="str">
        <f>VLOOKUP(C163,Customers!$A$2:$F$1001,4,FALSE())</f>
        <v>Consumer</v>
      </c>
    </row>
    <row r="164" spans="1:14" x14ac:dyDescent="0.25">
      <c r="A164">
        <v>163</v>
      </c>
      <c r="B164" t="s">
        <v>1940</v>
      </c>
      <c r="C164" t="s">
        <v>340</v>
      </c>
      <c r="D164" t="s">
        <v>1814</v>
      </c>
      <c r="E164">
        <v>3</v>
      </c>
      <c r="F164">
        <v>50</v>
      </c>
      <c r="G164">
        <v>150</v>
      </c>
      <c r="H164" s="9">
        <v>0</v>
      </c>
      <c r="I164">
        <v>36.51</v>
      </c>
      <c r="J164" s="10">
        <f t="shared" si="4"/>
        <v>1</v>
      </c>
      <c r="K164" s="11">
        <f t="shared" si="5"/>
        <v>0.24339999999999998</v>
      </c>
      <c r="L164" t="str">
        <f>VLOOKUP(C164,Customers!$A$2:$F$1001,2,FALSE())</f>
        <v>Edward Martinez</v>
      </c>
      <c r="M164" t="str">
        <f>VLOOKUP(C164,Customers!$A$2:$F$1001,3,FALSE())</f>
        <v>West</v>
      </c>
      <c r="N164" t="str">
        <f>VLOOKUP(C164,Customers!$A$2:$F$1001,4,FALSE())</f>
        <v>Consumer</v>
      </c>
    </row>
    <row r="165" spans="1:14" x14ac:dyDescent="0.25">
      <c r="A165">
        <v>164</v>
      </c>
      <c r="B165" t="s">
        <v>1914</v>
      </c>
      <c r="C165" t="s">
        <v>342</v>
      </c>
      <c r="D165" t="s">
        <v>1812</v>
      </c>
      <c r="E165">
        <v>3</v>
      </c>
      <c r="F165">
        <v>500</v>
      </c>
      <c r="G165">
        <v>1500</v>
      </c>
      <c r="H165" s="9">
        <v>0.1</v>
      </c>
      <c r="I165">
        <v>337.92</v>
      </c>
      <c r="J165" s="10">
        <f t="shared" si="4"/>
        <v>5</v>
      </c>
      <c r="K165" s="11">
        <f t="shared" si="5"/>
        <v>0.22528000000000001</v>
      </c>
      <c r="L165" t="str">
        <f>VLOOKUP(C165,Customers!$A$2:$F$1001,2,FALSE())</f>
        <v>Barbara Johnson</v>
      </c>
      <c r="M165" t="str">
        <f>VLOOKUP(C165,Customers!$A$2:$F$1001,3,FALSE())</f>
        <v>North</v>
      </c>
      <c r="N165" t="str">
        <f>VLOOKUP(C165,Customers!$A$2:$F$1001,4,FALSE())</f>
        <v>Consumer</v>
      </c>
    </row>
    <row r="166" spans="1:14" x14ac:dyDescent="0.25">
      <c r="A166">
        <v>165</v>
      </c>
      <c r="B166" t="s">
        <v>1941</v>
      </c>
      <c r="C166" t="s">
        <v>344</v>
      </c>
      <c r="D166" t="s">
        <v>1814</v>
      </c>
      <c r="E166">
        <v>4</v>
      </c>
      <c r="F166">
        <v>300</v>
      </c>
      <c r="G166">
        <v>1200</v>
      </c>
      <c r="H166" s="9">
        <v>0.1</v>
      </c>
      <c r="I166">
        <v>150.22999999999999</v>
      </c>
      <c r="J166" s="10">
        <f t="shared" si="4"/>
        <v>9</v>
      </c>
      <c r="K166" s="11">
        <f t="shared" si="5"/>
        <v>0.12519166666666665</v>
      </c>
      <c r="L166" t="str">
        <f>VLOOKUP(C166,Customers!$A$2:$F$1001,2,FALSE())</f>
        <v>Linda Thompson</v>
      </c>
      <c r="M166" t="str">
        <f>VLOOKUP(C166,Customers!$A$2:$F$1001,3,FALSE())</f>
        <v>North</v>
      </c>
      <c r="N166" t="str">
        <f>VLOOKUP(C166,Customers!$A$2:$F$1001,4,FALSE())</f>
        <v>Home Office</v>
      </c>
    </row>
    <row r="167" spans="1:14" x14ac:dyDescent="0.25">
      <c r="A167">
        <v>166</v>
      </c>
      <c r="B167" t="s">
        <v>1942</v>
      </c>
      <c r="C167" t="s">
        <v>346</v>
      </c>
      <c r="D167" t="s">
        <v>1814</v>
      </c>
      <c r="E167">
        <v>4</v>
      </c>
      <c r="F167">
        <v>500</v>
      </c>
      <c r="G167">
        <v>2000</v>
      </c>
      <c r="H167" s="9">
        <v>0.1</v>
      </c>
      <c r="I167">
        <v>344.95</v>
      </c>
      <c r="J167" s="10">
        <f t="shared" si="4"/>
        <v>4</v>
      </c>
      <c r="K167" s="11">
        <f t="shared" si="5"/>
        <v>0.17247499999999999</v>
      </c>
      <c r="L167" t="str">
        <f>VLOOKUP(C167,Customers!$A$2:$F$1001,2,FALSE())</f>
        <v>Betty Anderson</v>
      </c>
      <c r="M167" t="str">
        <f>VLOOKUP(C167,Customers!$A$2:$F$1001,3,FALSE())</f>
        <v>West</v>
      </c>
      <c r="N167" t="str">
        <f>VLOOKUP(C167,Customers!$A$2:$F$1001,4,FALSE())</f>
        <v>Consumer</v>
      </c>
    </row>
    <row r="168" spans="1:14" x14ac:dyDescent="0.25">
      <c r="A168">
        <v>167</v>
      </c>
      <c r="B168" t="s">
        <v>1943</v>
      </c>
      <c r="C168" t="s">
        <v>348</v>
      </c>
      <c r="D168" t="s">
        <v>1814</v>
      </c>
      <c r="E168">
        <v>3</v>
      </c>
      <c r="F168">
        <v>50</v>
      </c>
      <c r="G168">
        <v>150</v>
      </c>
      <c r="H168" s="9">
        <v>0</v>
      </c>
      <c r="I168">
        <v>32.03</v>
      </c>
      <c r="J168" s="10">
        <f t="shared" si="4"/>
        <v>9</v>
      </c>
      <c r="K168" s="11">
        <f t="shared" si="5"/>
        <v>0.21353333333333335</v>
      </c>
      <c r="L168" t="str">
        <f>VLOOKUP(C168,Customers!$A$2:$F$1001,2,FALSE())</f>
        <v>Jessica King</v>
      </c>
      <c r="M168" t="str">
        <f>VLOOKUP(C168,Customers!$A$2:$F$1001,3,FALSE())</f>
        <v>West</v>
      </c>
      <c r="N168" t="str">
        <f>VLOOKUP(C168,Customers!$A$2:$F$1001,4,FALSE())</f>
        <v>Home Office</v>
      </c>
    </row>
    <row r="169" spans="1:14" x14ac:dyDescent="0.25">
      <c r="A169">
        <v>168</v>
      </c>
      <c r="B169" t="s">
        <v>1944</v>
      </c>
      <c r="C169" t="s">
        <v>350</v>
      </c>
      <c r="D169" t="s">
        <v>1814</v>
      </c>
      <c r="E169">
        <v>1</v>
      </c>
      <c r="F169">
        <v>300</v>
      </c>
      <c r="G169">
        <v>300</v>
      </c>
      <c r="H169" s="9">
        <v>0</v>
      </c>
      <c r="I169">
        <v>67.58</v>
      </c>
      <c r="J169" s="10">
        <f t="shared" si="4"/>
        <v>2</v>
      </c>
      <c r="K169" s="11">
        <f t="shared" si="5"/>
        <v>0.22526666666666667</v>
      </c>
      <c r="L169" t="str">
        <f>VLOOKUP(C169,Customers!$A$2:$F$1001,2,FALSE())</f>
        <v>Lisa Allen</v>
      </c>
      <c r="M169" t="str">
        <f>VLOOKUP(C169,Customers!$A$2:$F$1001,3,FALSE())</f>
        <v>East</v>
      </c>
      <c r="N169" t="str">
        <f>VLOOKUP(C169,Customers!$A$2:$F$1001,4,FALSE())</f>
        <v>Consumer</v>
      </c>
    </row>
    <row r="170" spans="1:14" x14ac:dyDescent="0.25">
      <c r="A170">
        <v>169</v>
      </c>
      <c r="B170" t="s">
        <v>1945</v>
      </c>
      <c r="C170" t="s">
        <v>352</v>
      </c>
      <c r="D170" t="s">
        <v>1812</v>
      </c>
      <c r="E170">
        <v>3</v>
      </c>
      <c r="F170">
        <v>500</v>
      </c>
      <c r="G170">
        <v>1500</v>
      </c>
      <c r="H170" s="9">
        <v>0</v>
      </c>
      <c r="I170">
        <v>407.45</v>
      </c>
      <c r="J170" s="10">
        <f t="shared" si="4"/>
        <v>11</v>
      </c>
      <c r="K170" s="11">
        <f t="shared" si="5"/>
        <v>0.27163333333333334</v>
      </c>
      <c r="L170" t="str">
        <f>VLOOKUP(C170,Customers!$A$2:$F$1001,2,FALSE())</f>
        <v>Edward Gonzalez</v>
      </c>
      <c r="M170" t="str">
        <f>VLOOKUP(C170,Customers!$A$2:$F$1001,3,FALSE())</f>
        <v>West</v>
      </c>
      <c r="N170" t="str">
        <f>VLOOKUP(C170,Customers!$A$2:$F$1001,4,FALSE())</f>
        <v>Consumer</v>
      </c>
    </row>
    <row r="171" spans="1:14" x14ac:dyDescent="0.25">
      <c r="A171">
        <v>170</v>
      </c>
      <c r="B171" t="s">
        <v>1946</v>
      </c>
      <c r="C171" t="s">
        <v>354</v>
      </c>
      <c r="D171" t="s">
        <v>1814</v>
      </c>
      <c r="E171">
        <v>2</v>
      </c>
      <c r="F171">
        <v>25</v>
      </c>
      <c r="G171">
        <v>50</v>
      </c>
      <c r="H171" s="9">
        <v>0.1</v>
      </c>
      <c r="I171">
        <v>5.78</v>
      </c>
      <c r="J171" s="10">
        <f t="shared" si="4"/>
        <v>6</v>
      </c>
      <c r="K171" s="11">
        <f t="shared" si="5"/>
        <v>0.11560000000000001</v>
      </c>
      <c r="L171" t="str">
        <f>VLOOKUP(C171,Customers!$A$2:$F$1001,2,FALSE())</f>
        <v>William Hill</v>
      </c>
      <c r="M171" t="str">
        <f>VLOOKUP(C171,Customers!$A$2:$F$1001,3,FALSE())</f>
        <v>North</v>
      </c>
      <c r="N171" t="str">
        <f>VLOOKUP(C171,Customers!$A$2:$F$1001,4,FALSE())</f>
        <v>Corporate</v>
      </c>
    </row>
    <row r="172" spans="1:14" x14ac:dyDescent="0.25">
      <c r="A172">
        <v>171</v>
      </c>
      <c r="B172" t="s">
        <v>1811</v>
      </c>
      <c r="C172" t="s">
        <v>356</v>
      </c>
      <c r="D172" t="s">
        <v>1814</v>
      </c>
      <c r="E172">
        <v>3</v>
      </c>
      <c r="F172">
        <v>300</v>
      </c>
      <c r="G172">
        <v>900</v>
      </c>
      <c r="H172" s="9">
        <v>0.25</v>
      </c>
      <c r="I172">
        <v>-45</v>
      </c>
      <c r="J172" s="10">
        <f t="shared" si="4"/>
        <v>11</v>
      </c>
      <c r="K172" s="11">
        <f t="shared" si="5"/>
        <v>-0.05</v>
      </c>
      <c r="L172" t="str">
        <f>VLOOKUP(C172,Customers!$A$2:$F$1001,2,FALSE())</f>
        <v>Ashley Lopez</v>
      </c>
      <c r="M172" t="str">
        <f>VLOOKUP(C172,Customers!$A$2:$F$1001,3,FALSE())</f>
        <v>South</v>
      </c>
      <c r="N172" t="str">
        <f>VLOOKUP(C172,Customers!$A$2:$F$1001,4,FALSE())</f>
        <v>Consumer</v>
      </c>
    </row>
    <row r="173" spans="1:14" x14ac:dyDescent="0.25">
      <c r="A173">
        <v>172</v>
      </c>
      <c r="B173" t="s">
        <v>1943</v>
      </c>
      <c r="C173" t="s">
        <v>358</v>
      </c>
      <c r="D173" t="s">
        <v>1812</v>
      </c>
      <c r="E173">
        <v>2</v>
      </c>
      <c r="F173">
        <v>25</v>
      </c>
      <c r="G173">
        <v>50</v>
      </c>
      <c r="H173" s="9">
        <v>0.1</v>
      </c>
      <c r="I173">
        <v>10.74</v>
      </c>
      <c r="J173" s="10">
        <f t="shared" si="4"/>
        <v>9</v>
      </c>
      <c r="K173" s="11">
        <f t="shared" si="5"/>
        <v>0.21479999999999999</v>
      </c>
      <c r="L173" t="str">
        <f>VLOOKUP(C173,Customers!$A$2:$F$1001,2,FALSE())</f>
        <v>Ashley Lee</v>
      </c>
      <c r="M173" t="str">
        <f>VLOOKUP(C173,Customers!$A$2:$F$1001,3,FALSE())</f>
        <v>East</v>
      </c>
      <c r="N173" t="str">
        <f>VLOOKUP(C173,Customers!$A$2:$F$1001,4,FALSE())</f>
        <v>Consumer</v>
      </c>
    </row>
    <row r="174" spans="1:14" x14ac:dyDescent="0.25">
      <c r="A174">
        <v>173</v>
      </c>
      <c r="B174" t="s">
        <v>1889</v>
      </c>
      <c r="C174" t="s">
        <v>360</v>
      </c>
      <c r="D174" t="s">
        <v>1816</v>
      </c>
      <c r="E174">
        <v>4</v>
      </c>
      <c r="F174">
        <v>30</v>
      </c>
      <c r="G174">
        <v>120</v>
      </c>
      <c r="H174" s="9">
        <v>0.1</v>
      </c>
      <c r="I174">
        <v>7.59</v>
      </c>
      <c r="J174" s="10">
        <f t="shared" si="4"/>
        <v>11</v>
      </c>
      <c r="K174" s="11">
        <f t="shared" si="5"/>
        <v>6.3250000000000001E-2</v>
      </c>
      <c r="L174" t="str">
        <f>VLOOKUP(C174,Customers!$A$2:$F$1001,2,FALSE())</f>
        <v>Amanda Hernandez</v>
      </c>
      <c r="M174" t="str">
        <f>VLOOKUP(C174,Customers!$A$2:$F$1001,3,FALSE())</f>
        <v>North</v>
      </c>
      <c r="N174" t="str">
        <f>VLOOKUP(C174,Customers!$A$2:$F$1001,4,FALSE())</f>
        <v>Corporate</v>
      </c>
    </row>
    <row r="175" spans="1:14" x14ac:dyDescent="0.25">
      <c r="A175">
        <v>174</v>
      </c>
      <c r="B175" t="s">
        <v>1836</v>
      </c>
      <c r="C175" t="s">
        <v>362</v>
      </c>
      <c r="D175" t="s">
        <v>1812</v>
      </c>
      <c r="E175">
        <v>1</v>
      </c>
      <c r="F175">
        <v>300</v>
      </c>
      <c r="G175">
        <v>300</v>
      </c>
      <c r="H175" s="9">
        <v>0.25</v>
      </c>
      <c r="I175">
        <v>22.75</v>
      </c>
      <c r="J175" s="10">
        <f t="shared" si="4"/>
        <v>4</v>
      </c>
      <c r="K175" s="11">
        <f t="shared" si="5"/>
        <v>7.5833333333333336E-2</v>
      </c>
      <c r="L175" t="str">
        <f>VLOOKUP(C175,Customers!$A$2:$F$1001,2,FALSE())</f>
        <v>Deborah Nguyen</v>
      </c>
      <c r="M175" t="str">
        <f>VLOOKUP(C175,Customers!$A$2:$F$1001,3,FALSE())</f>
        <v>East</v>
      </c>
      <c r="N175" t="str">
        <f>VLOOKUP(C175,Customers!$A$2:$F$1001,4,FALSE())</f>
        <v>Consumer</v>
      </c>
    </row>
    <row r="176" spans="1:14" x14ac:dyDescent="0.25">
      <c r="A176">
        <v>175</v>
      </c>
      <c r="B176" t="s">
        <v>1925</v>
      </c>
      <c r="C176" t="s">
        <v>364</v>
      </c>
      <c r="D176" t="s">
        <v>1816</v>
      </c>
      <c r="E176">
        <v>4</v>
      </c>
      <c r="F176">
        <v>25</v>
      </c>
      <c r="G176">
        <v>100</v>
      </c>
      <c r="H176" s="9">
        <v>0.1</v>
      </c>
      <c r="I176">
        <v>3.23</v>
      </c>
      <c r="J176" s="10">
        <f t="shared" si="4"/>
        <v>3</v>
      </c>
      <c r="K176" s="11">
        <f t="shared" si="5"/>
        <v>3.2300000000000002E-2</v>
      </c>
      <c r="L176" t="str">
        <f>VLOOKUP(C176,Customers!$A$2:$F$1001,2,FALSE())</f>
        <v>Elizabeth Miller</v>
      </c>
      <c r="M176" t="str">
        <f>VLOOKUP(C176,Customers!$A$2:$F$1001,3,FALSE())</f>
        <v>South</v>
      </c>
      <c r="N176" t="str">
        <f>VLOOKUP(C176,Customers!$A$2:$F$1001,4,FALSE())</f>
        <v>Consumer</v>
      </c>
    </row>
    <row r="177" spans="1:14" x14ac:dyDescent="0.25">
      <c r="A177">
        <v>176</v>
      </c>
      <c r="B177" t="s">
        <v>1947</v>
      </c>
      <c r="C177" t="s">
        <v>366</v>
      </c>
      <c r="D177" t="s">
        <v>1812</v>
      </c>
      <c r="E177">
        <v>2</v>
      </c>
      <c r="F177">
        <v>50</v>
      </c>
      <c r="G177">
        <v>100</v>
      </c>
      <c r="H177" s="9">
        <v>0</v>
      </c>
      <c r="I177">
        <v>33.89</v>
      </c>
      <c r="J177" s="10">
        <f t="shared" si="4"/>
        <v>7</v>
      </c>
      <c r="K177" s="11">
        <f t="shared" si="5"/>
        <v>0.33889999999999998</v>
      </c>
      <c r="L177" t="str">
        <f>VLOOKUP(C177,Customers!$A$2:$F$1001,2,FALSE())</f>
        <v>Anthony Johnson</v>
      </c>
      <c r="M177" t="str">
        <f>VLOOKUP(C177,Customers!$A$2:$F$1001,3,FALSE())</f>
        <v>East</v>
      </c>
      <c r="N177" t="str">
        <f>VLOOKUP(C177,Customers!$A$2:$F$1001,4,FALSE())</f>
        <v>Corporate</v>
      </c>
    </row>
    <row r="178" spans="1:14" x14ac:dyDescent="0.25">
      <c r="A178">
        <v>177</v>
      </c>
      <c r="B178" t="s">
        <v>1948</v>
      </c>
      <c r="C178" t="s">
        <v>368</v>
      </c>
      <c r="D178" t="s">
        <v>1812</v>
      </c>
      <c r="E178">
        <v>2</v>
      </c>
      <c r="F178">
        <v>50</v>
      </c>
      <c r="G178">
        <v>100</v>
      </c>
      <c r="H178" s="9">
        <v>0.15</v>
      </c>
      <c r="I178">
        <v>20.079999999999998</v>
      </c>
      <c r="J178" s="10">
        <f t="shared" si="4"/>
        <v>3</v>
      </c>
      <c r="K178" s="11">
        <f t="shared" si="5"/>
        <v>0.20079999999999998</v>
      </c>
      <c r="L178" t="str">
        <f>VLOOKUP(C178,Customers!$A$2:$F$1001,2,FALSE())</f>
        <v>Joseph Moore</v>
      </c>
      <c r="M178" t="str">
        <f>VLOOKUP(C178,Customers!$A$2:$F$1001,3,FALSE())</f>
        <v>South</v>
      </c>
      <c r="N178" t="str">
        <f>VLOOKUP(C178,Customers!$A$2:$F$1001,4,FALSE())</f>
        <v>Consumer</v>
      </c>
    </row>
    <row r="179" spans="1:14" x14ac:dyDescent="0.25">
      <c r="A179">
        <v>178</v>
      </c>
      <c r="B179" t="s">
        <v>1949</v>
      </c>
      <c r="C179" t="s">
        <v>370</v>
      </c>
      <c r="D179" t="s">
        <v>1814</v>
      </c>
      <c r="E179">
        <v>2</v>
      </c>
      <c r="F179">
        <v>30</v>
      </c>
      <c r="G179">
        <v>60</v>
      </c>
      <c r="H179" s="9">
        <v>0.05</v>
      </c>
      <c r="I179">
        <v>11.36</v>
      </c>
      <c r="J179" s="10">
        <f t="shared" si="4"/>
        <v>10</v>
      </c>
      <c r="K179" s="11">
        <f t="shared" si="5"/>
        <v>0.18933333333333333</v>
      </c>
      <c r="L179" t="str">
        <f>VLOOKUP(C179,Customers!$A$2:$F$1001,2,FALSE())</f>
        <v>Edward Flores</v>
      </c>
      <c r="M179" t="str">
        <f>VLOOKUP(C179,Customers!$A$2:$F$1001,3,FALSE())</f>
        <v>South</v>
      </c>
      <c r="N179" t="str">
        <f>VLOOKUP(C179,Customers!$A$2:$F$1001,4,FALSE())</f>
        <v>Home Office</v>
      </c>
    </row>
    <row r="180" spans="1:14" x14ac:dyDescent="0.25">
      <c r="A180">
        <v>179</v>
      </c>
      <c r="B180" t="s">
        <v>1950</v>
      </c>
      <c r="C180" t="s">
        <v>372</v>
      </c>
      <c r="D180" t="s">
        <v>1816</v>
      </c>
      <c r="E180">
        <v>1</v>
      </c>
      <c r="F180">
        <v>300</v>
      </c>
      <c r="G180">
        <v>300</v>
      </c>
      <c r="H180" s="9">
        <v>0</v>
      </c>
      <c r="I180">
        <v>37.64</v>
      </c>
      <c r="J180" s="10">
        <f t="shared" si="4"/>
        <v>9</v>
      </c>
      <c r="K180" s="11">
        <f t="shared" si="5"/>
        <v>0.12546666666666667</v>
      </c>
      <c r="L180" t="str">
        <f>VLOOKUP(C180,Customers!$A$2:$F$1001,2,FALSE())</f>
        <v>Linda Scott</v>
      </c>
      <c r="M180" t="str">
        <f>VLOOKUP(C180,Customers!$A$2:$F$1001,3,FALSE())</f>
        <v>North</v>
      </c>
      <c r="N180" t="str">
        <f>VLOOKUP(C180,Customers!$A$2:$F$1001,4,FALSE())</f>
        <v>Consumer</v>
      </c>
    </row>
    <row r="181" spans="1:14" x14ac:dyDescent="0.25">
      <c r="A181">
        <v>180</v>
      </c>
      <c r="B181" t="s">
        <v>1951</v>
      </c>
      <c r="C181" t="s">
        <v>374</v>
      </c>
      <c r="D181" t="s">
        <v>1814</v>
      </c>
      <c r="E181">
        <v>3</v>
      </c>
      <c r="F181">
        <v>300</v>
      </c>
      <c r="G181">
        <v>900</v>
      </c>
      <c r="H181" s="9">
        <v>0.05</v>
      </c>
      <c r="I181">
        <v>124.66</v>
      </c>
      <c r="J181" s="10">
        <f t="shared" si="4"/>
        <v>1</v>
      </c>
      <c r="K181" s="11">
        <f t="shared" si="5"/>
        <v>0.13851111111111111</v>
      </c>
      <c r="L181" t="str">
        <f>VLOOKUP(C181,Customers!$A$2:$F$1001,2,FALSE())</f>
        <v>John Robinson</v>
      </c>
      <c r="M181" t="str">
        <f>VLOOKUP(C181,Customers!$A$2:$F$1001,3,FALSE())</f>
        <v>North</v>
      </c>
      <c r="N181" t="str">
        <f>VLOOKUP(C181,Customers!$A$2:$F$1001,4,FALSE())</f>
        <v>Home Office</v>
      </c>
    </row>
    <row r="182" spans="1:14" x14ac:dyDescent="0.25">
      <c r="A182">
        <v>181</v>
      </c>
      <c r="B182" t="s">
        <v>1952</v>
      </c>
      <c r="C182" t="s">
        <v>376</v>
      </c>
      <c r="D182" t="s">
        <v>1816</v>
      </c>
      <c r="E182">
        <v>4</v>
      </c>
      <c r="F182">
        <v>300</v>
      </c>
      <c r="G182">
        <v>1200</v>
      </c>
      <c r="H182" s="9">
        <v>0.2</v>
      </c>
      <c r="I182">
        <v>-60</v>
      </c>
      <c r="J182" s="10">
        <f t="shared" si="4"/>
        <v>11</v>
      </c>
      <c r="K182" s="11">
        <f t="shared" si="5"/>
        <v>-0.05</v>
      </c>
      <c r="L182" t="str">
        <f>VLOOKUP(C182,Customers!$A$2:$F$1001,2,FALSE())</f>
        <v>Kevin Scott</v>
      </c>
      <c r="M182" t="str">
        <f>VLOOKUP(C182,Customers!$A$2:$F$1001,3,FALSE())</f>
        <v>East</v>
      </c>
      <c r="N182" t="str">
        <f>VLOOKUP(C182,Customers!$A$2:$F$1001,4,FALSE())</f>
        <v>Corporate</v>
      </c>
    </row>
    <row r="183" spans="1:14" x14ac:dyDescent="0.25">
      <c r="A183">
        <v>182</v>
      </c>
      <c r="B183" t="s">
        <v>1953</v>
      </c>
      <c r="C183" t="s">
        <v>378</v>
      </c>
      <c r="D183" t="s">
        <v>1812</v>
      </c>
      <c r="E183">
        <v>4</v>
      </c>
      <c r="F183">
        <v>30</v>
      </c>
      <c r="G183">
        <v>120</v>
      </c>
      <c r="H183" s="9">
        <v>0</v>
      </c>
      <c r="I183">
        <v>44.72</v>
      </c>
      <c r="J183" s="10">
        <f t="shared" si="4"/>
        <v>6</v>
      </c>
      <c r="K183" s="11">
        <f t="shared" si="5"/>
        <v>0.37266666666666665</v>
      </c>
      <c r="L183" t="str">
        <f>VLOOKUP(C183,Customers!$A$2:$F$1001,2,FALSE())</f>
        <v>Barbara Scott</v>
      </c>
      <c r="M183" t="str">
        <f>VLOOKUP(C183,Customers!$A$2:$F$1001,3,FALSE())</f>
        <v>North</v>
      </c>
      <c r="N183" t="str">
        <f>VLOOKUP(C183,Customers!$A$2:$F$1001,4,FALSE())</f>
        <v>Home Office</v>
      </c>
    </row>
    <row r="184" spans="1:14" x14ac:dyDescent="0.25">
      <c r="A184">
        <v>183</v>
      </c>
      <c r="B184" t="s">
        <v>1954</v>
      </c>
      <c r="C184" t="s">
        <v>380</v>
      </c>
      <c r="D184" t="s">
        <v>1812</v>
      </c>
      <c r="E184">
        <v>3</v>
      </c>
      <c r="F184">
        <v>300</v>
      </c>
      <c r="G184">
        <v>900</v>
      </c>
      <c r="H184" s="9">
        <v>0.05</v>
      </c>
      <c r="I184">
        <v>322.47000000000003</v>
      </c>
      <c r="J184" s="10">
        <f t="shared" si="4"/>
        <v>9</v>
      </c>
      <c r="K184" s="11">
        <f t="shared" si="5"/>
        <v>0.35830000000000001</v>
      </c>
      <c r="L184" t="str">
        <f>VLOOKUP(C184,Customers!$A$2:$F$1001,2,FALSE())</f>
        <v>Jennifer Lee</v>
      </c>
      <c r="M184" t="str">
        <f>VLOOKUP(C184,Customers!$A$2:$F$1001,3,FALSE())</f>
        <v>North</v>
      </c>
      <c r="N184" t="str">
        <f>VLOOKUP(C184,Customers!$A$2:$F$1001,4,FALSE())</f>
        <v>Home Office</v>
      </c>
    </row>
    <row r="185" spans="1:14" x14ac:dyDescent="0.25">
      <c r="A185">
        <v>184</v>
      </c>
      <c r="B185" t="s">
        <v>1955</v>
      </c>
      <c r="C185" t="s">
        <v>382</v>
      </c>
      <c r="D185" t="s">
        <v>1816</v>
      </c>
      <c r="E185">
        <v>4</v>
      </c>
      <c r="F185">
        <v>50</v>
      </c>
      <c r="G185">
        <v>200</v>
      </c>
      <c r="H185" s="9">
        <v>0</v>
      </c>
      <c r="I185">
        <v>30.37</v>
      </c>
      <c r="J185" s="10">
        <f t="shared" si="4"/>
        <v>1</v>
      </c>
      <c r="K185" s="11">
        <f t="shared" si="5"/>
        <v>0.15185000000000001</v>
      </c>
      <c r="L185" t="str">
        <f>VLOOKUP(C185,Customers!$A$2:$F$1001,2,FALSE())</f>
        <v>Lisa Gonzalez</v>
      </c>
      <c r="M185" t="str">
        <f>VLOOKUP(C185,Customers!$A$2:$F$1001,3,FALSE())</f>
        <v>North</v>
      </c>
      <c r="N185" t="str">
        <f>VLOOKUP(C185,Customers!$A$2:$F$1001,4,FALSE())</f>
        <v>Consumer</v>
      </c>
    </row>
    <row r="186" spans="1:14" x14ac:dyDescent="0.25">
      <c r="A186">
        <v>185</v>
      </c>
      <c r="B186" t="s">
        <v>1813</v>
      </c>
      <c r="C186" t="s">
        <v>384</v>
      </c>
      <c r="D186" t="s">
        <v>1814</v>
      </c>
      <c r="E186">
        <v>1</v>
      </c>
      <c r="F186">
        <v>25</v>
      </c>
      <c r="G186">
        <v>25</v>
      </c>
      <c r="H186" s="9">
        <v>0</v>
      </c>
      <c r="I186">
        <v>5.68</v>
      </c>
      <c r="J186" s="10">
        <f t="shared" si="4"/>
        <v>2</v>
      </c>
      <c r="K186" s="11">
        <f t="shared" si="5"/>
        <v>0.22719999999999999</v>
      </c>
      <c r="L186" t="str">
        <f>VLOOKUP(C186,Customers!$A$2:$F$1001,2,FALSE())</f>
        <v>Mary Walker</v>
      </c>
      <c r="M186" t="str">
        <f>VLOOKUP(C186,Customers!$A$2:$F$1001,3,FALSE())</f>
        <v>North</v>
      </c>
      <c r="N186" t="str">
        <f>VLOOKUP(C186,Customers!$A$2:$F$1001,4,FALSE())</f>
        <v>Corporate</v>
      </c>
    </row>
    <row r="187" spans="1:14" x14ac:dyDescent="0.25">
      <c r="A187">
        <v>186</v>
      </c>
      <c r="B187" t="s">
        <v>1867</v>
      </c>
      <c r="C187" t="s">
        <v>386</v>
      </c>
      <c r="D187" t="s">
        <v>1814</v>
      </c>
      <c r="E187">
        <v>4</v>
      </c>
      <c r="F187">
        <v>50</v>
      </c>
      <c r="G187">
        <v>200</v>
      </c>
      <c r="H187" s="9">
        <v>0</v>
      </c>
      <c r="I187">
        <v>42.89</v>
      </c>
      <c r="J187" s="10">
        <f t="shared" si="4"/>
        <v>7</v>
      </c>
      <c r="K187" s="11">
        <f t="shared" si="5"/>
        <v>0.21445</v>
      </c>
      <c r="L187" t="str">
        <f>VLOOKUP(C187,Customers!$A$2:$F$1001,2,FALSE())</f>
        <v>Thomas Clark</v>
      </c>
      <c r="M187" t="str">
        <f>VLOOKUP(C187,Customers!$A$2:$F$1001,3,FALSE())</f>
        <v>West</v>
      </c>
      <c r="N187" t="str">
        <f>VLOOKUP(C187,Customers!$A$2:$F$1001,4,FALSE())</f>
        <v>Consumer</v>
      </c>
    </row>
    <row r="188" spans="1:14" x14ac:dyDescent="0.25">
      <c r="A188">
        <v>187</v>
      </c>
      <c r="B188" t="s">
        <v>1956</v>
      </c>
      <c r="C188" t="s">
        <v>388</v>
      </c>
      <c r="D188" t="s">
        <v>1814</v>
      </c>
      <c r="E188">
        <v>2</v>
      </c>
      <c r="F188">
        <v>50</v>
      </c>
      <c r="G188">
        <v>100</v>
      </c>
      <c r="H188" s="9">
        <v>0.1</v>
      </c>
      <c r="I188">
        <v>14.66</v>
      </c>
      <c r="J188" s="10">
        <f t="shared" si="4"/>
        <v>6</v>
      </c>
      <c r="K188" s="11">
        <f t="shared" si="5"/>
        <v>0.14660000000000001</v>
      </c>
      <c r="L188" t="str">
        <f>VLOOKUP(C188,Customers!$A$2:$F$1001,2,FALSE())</f>
        <v>Christopher Anderson</v>
      </c>
      <c r="M188" t="str">
        <f>VLOOKUP(C188,Customers!$A$2:$F$1001,3,FALSE())</f>
        <v>South</v>
      </c>
      <c r="N188" t="str">
        <f>VLOOKUP(C188,Customers!$A$2:$F$1001,4,FALSE())</f>
        <v>Home Office</v>
      </c>
    </row>
    <row r="189" spans="1:14" x14ac:dyDescent="0.25">
      <c r="A189">
        <v>188</v>
      </c>
      <c r="B189" t="s">
        <v>1957</v>
      </c>
      <c r="C189" t="s">
        <v>390</v>
      </c>
      <c r="D189" t="s">
        <v>1814</v>
      </c>
      <c r="E189">
        <v>3</v>
      </c>
      <c r="F189">
        <v>25</v>
      </c>
      <c r="G189">
        <v>75</v>
      </c>
      <c r="H189" s="9">
        <v>0.15</v>
      </c>
      <c r="I189">
        <v>1.28</v>
      </c>
      <c r="J189" s="10">
        <f t="shared" si="4"/>
        <v>5</v>
      </c>
      <c r="K189" s="11">
        <f t="shared" si="5"/>
        <v>1.7066666666666667E-2</v>
      </c>
      <c r="L189" t="str">
        <f>VLOOKUP(C189,Customers!$A$2:$F$1001,2,FALSE())</f>
        <v>Brian Brown</v>
      </c>
      <c r="M189" t="str">
        <f>VLOOKUP(C189,Customers!$A$2:$F$1001,3,FALSE())</f>
        <v>West</v>
      </c>
      <c r="N189" t="str">
        <f>VLOOKUP(C189,Customers!$A$2:$F$1001,4,FALSE())</f>
        <v>Corporate</v>
      </c>
    </row>
    <row r="190" spans="1:14" x14ac:dyDescent="0.25">
      <c r="A190">
        <v>189</v>
      </c>
      <c r="B190" t="s">
        <v>1958</v>
      </c>
      <c r="C190" t="s">
        <v>392</v>
      </c>
      <c r="D190" t="s">
        <v>1812</v>
      </c>
      <c r="E190">
        <v>1</v>
      </c>
      <c r="F190">
        <v>50</v>
      </c>
      <c r="G190">
        <v>50</v>
      </c>
      <c r="H190" s="9">
        <v>0</v>
      </c>
      <c r="I190">
        <v>18.329999999999998</v>
      </c>
      <c r="J190" s="10">
        <f t="shared" si="4"/>
        <v>1</v>
      </c>
      <c r="K190" s="11">
        <f t="shared" si="5"/>
        <v>0.36659999999999998</v>
      </c>
      <c r="L190" t="str">
        <f>VLOOKUP(C190,Customers!$A$2:$F$1001,2,FALSE())</f>
        <v>Andrew Robinson</v>
      </c>
      <c r="M190" t="str">
        <f>VLOOKUP(C190,Customers!$A$2:$F$1001,3,FALSE())</f>
        <v>North</v>
      </c>
      <c r="N190" t="str">
        <f>VLOOKUP(C190,Customers!$A$2:$F$1001,4,FALSE())</f>
        <v>Consumer</v>
      </c>
    </row>
    <row r="191" spans="1:14" x14ac:dyDescent="0.25">
      <c r="A191">
        <v>190</v>
      </c>
      <c r="B191" t="s">
        <v>1959</v>
      </c>
      <c r="C191" t="s">
        <v>393</v>
      </c>
      <c r="D191" t="s">
        <v>1812</v>
      </c>
      <c r="E191">
        <v>3</v>
      </c>
      <c r="F191">
        <v>30</v>
      </c>
      <c r="G191">
        <v>90</v>
      </c>
      <c r="H191" s="9">
        <v>0</v>
      </c>
      <c r="I191">
        <v>33.71</v>
      </c>
      <c r="J191" s="10">
        <f t="shared" si="4"/>
        <v>5</v>
      </c>
      <c r="K191" s="11">
        <f t="shared" si="5"/>
        <v>0.37455555555555559</v>
      </c>
      <c r="L191" t="str">
        <f>VLOOKUP(C191,Customers!$A$2:$F$1001,2,FALSE())</f>
        <v>Charles Hernandez</v>
      </c>
      <c r="M191" t="str">
        <f>VLOOKUP(C191,Customers!$A$2:$F$1001,3,FALSE())</f>
        <v>East</v>
      </c>
      <c r="N191" t="str">
        <f>VLOOKUP(C191,Customers!$A$2:$F$1001,4,FALSE())</f>
        <v>Home Office</v>
      </c>
    </row>
    <row r="192" spans="1:14" x14ac:dyDescent="0.25">
      <c r="A192">
        <v>191</v>
      </c>
      <c r="B192" t="s">
        <v>1905</v>
      </c>
      <c r="C192" t="s">
        <v>395</v>
      </c>
      <c r="D192" t="s">
        <v>1812</v>
      </c>
      <c r="E192">
        <v>1</v>
      </c>
      <c r="F192">
        <v>25</v>
      </c>
      <c r="G192">
        <v>25</v>
      </c>
      <c r="H192" s="9">
        <v>0</v>
      </c>
      <c r="I192">
        <v>9.08</v>
      </c>
      <c r="J192" s="10">
        <f t="shared" si="4"/>
        <v>10</v>
      </c>
      <c r="K192" s="11">
        <f t="shared" si="5"/>
        <v>0.36320000000000002</v>
      </c>
      <c r="L192" t="str">
        <f>VLOOKUP(C192,Customers!$A$2:$F$1001,2,FALSE())</f>
        <v>James Nguyen</v>
      </c>
      <c r="M192" t="str">
        <f>VLOOKUP(C192,Customers!$A$2:$F$1001,3,FALSE())</f>
        <v>South</v>
      </c>
      <c r="N192" t="str">
        <f>VLOOKUP(C192,Customers!$A$2:$F$1001,4,FALSE())</f>
        <v>Consumer</v>
      </c>
    </row>
    <row r="193" spans="1:14" x14ac:dyDescent="0.25">
      <c r="A193">
        <v>192</v>
      </c>
      <c r="B193" t="s">
        <v>1862</v>
      </c>
      <c r="C193" t="s">
        <v>397</v>
      </c>
      <c r="D193" t="s">
        <v>1812</v>
      </c>
      <c r="E193">
        <v>2</v>
      </c>
      <c r="F193">
        <v>50</v>
      </c>
      <c r="G193">
        <v>100</v>
      </c>
      <c r="H193" s="9">
        <v>0</v>
      </c>
      <c r="I193">
        <v>34.340000000000003</v>
      </c>
      <c r="J193" s="10">
        <f t="shared" si="4"/>
        <v>2</v>
      </c>
      <c r="K193" s="11">
        <f t="shared" si="5"/>
        <v>0.34340000000000004</v>
      </c>
      <c r="L193" t="str">
        <f>VLOOKUP(C193,Customers!$A$2:$F$1001,2,FALSE())</f>
        <v>Melissa Martinez</v>
      </c>
      <c r="M193" t="str">
        <f>VLOOKUP(C193,Customers!$A$2:$F$1001,3,FALSE())</f>
        <v>South</v>
      </c>
      <c r="N193" t="str">
        <f>VLOOKUP(C193,Customers!$A$2:$F$1001,4,FALSE())</f>
        <v>Corporate</v>
      </c>
    </row>
    <row r="194" spans="1:14" x14ac:dyDescent="0.25">
      <c r="A194">
        <v>193</v>
      </c>
      <c r="B194" t="s">
        <v>1960</v>
      </c>
      <c r="C194" t="s">
        <v>399</v>
      </c>
      <c r="D194" t="s">
        <v>1812</v>
      </c>
      <c r="E194">
        <v>3</v>
      </c>
      <c r="F194">
        <v>500</v>
      </c>
      <c r="G194">
        <v>1500</v>
      </c>
      <c r="H194" s="9">
        <v>0.1</v>
      </c>
      <c r="I194">
        <v>370.42</v>
      </c>
      <c r="J194" s="10">
        <f t="shared" ref="J194:J257" si="6">MONTH(B194)</f>
        <v>2</v>
      </c>
      <c r="K194" s="11">
        <f t="shared" ref="K194:K257" si="7">IF(G194=0,0,I194/G194)</f>
        <v>0.24694666666666668</v>
      </c>
      <c r="L194" t="str">
        <f>VLOOKUP(C194,Customers!$A$2:$F$1001,2,FALSE())</f>
        <v>Mary Jones</v>
      </c>
      <c r="M194" t="str">
        <f>VLOOKUP(C194,Customers!$A$2:$F$1001,3,FALSE())</f>
        <v>West</v>
      </c>
      <c r="N194" t="str">
        <f>VLOOKUP(C194,Customers!$A$2:$F$1001,4,FALSE())</f>
        <v>Corporate</v>
      </c>
    </row>
    <row r="195" spans="1:14" x14ac:dyDescent="0.25">
      <c r="A195">
        <v>194</v>
      </c>
      <c r="B195" t="s">
        <v>1961</v>
      </c>
      <c r="C195" t="s">
        <v>401</v>
      </c>
      <c r="D195" t="s">
        <v>1814</v>
      </c>
      <c r="E195">
        <v>4</v>
      </c>
      <c r="F195">
        <v>50</v>
      </c>
      <c r="G195">
        <v>200</v>
      </c>
      <c r="H195" s="9">
        <v>0.1</v>
      </c>
      <c r="I195">
        <v>27.03</v>
      </c>
      <c r="J195" s="10">
        <f t="shared" si="6"/>
        <v>9</v>
      </c>
      <c r="K195" s="11">
        <f t="shared" si="7"/>
        <v>0.13514999999999999</v>
      </c>
      <c r="L195" t="str">
        <f>VLOOKUP(C195,Customers!$A$2:$F$1001,2,FALSE())</f>
        <v>Patricia King</v>
      </c>
      <c r="M195" t="str">
        <f>VLOOKUP(C195,Customers!$A$2:$F$1001,3,FALSE())</f>
        <v>West</v>
      </c>
      <c r="N195" t="str">
        <f>VLOOKUP(C195,Customers!$A$2:$F$1001,4,FALSE())</f>
        <v>Consumer</v>
      </c>
    </row>
    <row r="196" spans="1:14" x14ac:dyDescent="0.25">
      <c r="A196">
        <v>195</v>
      </c>
      <c r="B196" t="s">
        <v>1871</v>
      </c>
      <c r="C196" t="s">
        <v>403</v>
      </c>
      <c r="D196" t="s">
        <v>1814</v>
      </c>
      <c r="E196">
        <v>1</v>
      </c>
      <c r="F196">
        <v>30</v>
      </c>
      <c r="G196">
        <v>30</v>
      </c>
      <c r="H196" s="9">
        <v>0.1</v>
      </c>
      <c r="I196">
        <v>3.2</v>
      </c>
      <c r="J196" s="10">
        <f t="shared" si="6"/>
        <v>2</v>
      </c>
      <c r="K196" s="11">
        <f t="shared" si="7"/>
        <v>0.10666666666666667</v>
      </c>
      <c r="L196" t="str">
        <f>VLOOKUP(C196,Customers!$A$2:$F$1001,2,FALSE())</f>
        <v>Brian Miller</v>
      </c>
      <c r="M196" t="str">
        <f>VLOOKUP(C196,Customers!$A$2:$F$1001,3,FALSE())</f>
        <v>West</v>
      </c>
      <c r="N196" t="str">
        <f>VLOOKUP(C196,Customers!$A$2:$F$1001,4,FALSE())</f>
        <v>Corporate</v>
      </c>
    </row>
    <row r="197" spans="1:14" x14ac:dyDescent="0.25">
      <c r="A197">
        <v>196</v>
      </c>
      <c r="B197" t="s">
        <v>1962</v>
      </c>
      <c r="C197" t="s">
        <v>405</v>
      </c>
      <c r="D197" t="s">
        <v>1814</v>
      </c>
      <c r="E197">
        <v>3</v>
      </c>
      <c r="F197">
        <v>300</v>
      </c>
      <c r="G197">
        <v>900</v>
      </c>
      <c r="H197" s="9">
        <v>0.05</v>
      </c>
      <c r="I197">
        <v>220.96</v>
      </c>
      <c r="J197" s="10">
        <f t="shared" si="6"/>
        <v>9</v>
      </c>
      <c r="K197" s="11">
        <f t="shared" si="7"/>
        <v>0.24551111111111112</v>
      </c>
      <c r="L197" t="str">
        <f>VLOOKUP(C197,Customers!$A$2:$F$1001,2,FALSE())</f>
        <v>Donna Davis</v>
      </c>
      <c r="M197" t="str">
        <f>VLOOKUP(C197,Customers!$A$2:$F$1001,3,FALSE())</f>
        <v>North</v>
      </c>
      <c r="N197" t="str">
        <f>VLOOKUP(C197,Customers!$A$2:$F$1001,4,FALSE())</f>
        <v>Home Office</v>
      </c>
    </row>
    <row r="198" spans="1:14" x14ac:dyDescent="0.25">
      <c r="A198">
        <v>197</v>
      </c>
      <c r="B198" t="s">
        <v>1963</v>
      </c>
      <c r="C198" t="s">
        <v>406</v>
      </c>
      <c r="D198" t="s">
        <v>1814</v>
      </c>
      <c r="E198">
        <v>4</v>
      </c>
      <c r="F198">
        <v>50</v>
      </c>
      <c r="G198">
        <v>200</v>
      </c>
      <c r="H198" s="9">
        <v>0.1</v>
      </c>
      <c r="I198">
        <v>23.89</v>
      </c>
      <c r="J198" s="10">
        <f t="shared" si="6"/>
        <v>3</v>
      </c>
      <c r="K198" s="11">
        <f t="shared" si="7"/>
        <v>0.11945</v>
      </c>
      <c r="L198" t="str">
        <f>VLOOKUP(C198,Customers!$A$2:$F$1001,2,FALSE())</f>
        <v>Charles White</v>
      </c>
      <c r="M198" t="str">
        <f>VLOOKUP(C198,Customers!$A$2:$F$1001,3,FALSE())</f>
        <v>North</v>
      </c>
      <c r="N198" t="str">
        <f>VLOOKUP(C198,Customers!$A$2:$F$1001,4,FALSE())</f>
        <v>Consumer</v>
      </c>
    </row>
    <row r="199" spans="1:14" x14ac:dyDescent="0.25">
      <c r="A199">
        <v>198</v>
      </c>
      <c r="B199" t="s">
        <v>1964</v>
      </c>
      <c r="C199" t="s">
        <v>408</v>
      </c>
      <c r="D199" t="s">
        <v>1812</v>
      </c>
      <c r="E199">
        <v>3</v>
      </c>
      <c r="F199">
        <v>300</v>
      </c>
      <c r="G199">
        <v>900</v>
      </c>
      <c r="H199" s="9">
        <v>0</v>
      </c>
      <c r="I199">
        <v>335.95</v>
      </c>
      <c r="J199" s="10">
        <f t="shared" si="6"/>
        <v>3</v>
      </c>
      <c r="K199" s="11">
        <f t="shared" si="7"/>
        <v>0.37327777777777776</v>
      </c>
      <c r="L199" t="str">
        <f>VLOOKUP(C199,Customers!$A$2:$F$1001,2,FALSE())</f>
        <v>Emily Wright</v>
      </c>
      <c r="M199" t="str">
        <f>VLOOKUP(C199,Customers!$A$2:$F$1001,3,FALSE())</f>
        <v>East</v>
      </c>
      <c r="N199" t="str">
        <f>VLOOKUP(C199,Customers!$A$2:$F$1001,4,FALSE())</f>
        <v>Corporate</v>
      </c>
    </row>
    <row r="200" spans="1:14" x14ac:dyDescent="0.25">
      <c r="A200">
        <v>199</v>
      </c>
      <c r="B200" t="s">
        <v>1965</v>
      </c>
      <c r="C200" t="s">
        <v>410</v>
      </c>
      <c r="D200" t="s">
        <v>1812</v>
      </c>
      <c r="E200">
        <v>3</v>
      </c>
      <c r="F200">
        <v>500</v>
      </c>
      <c r="G200">
        <v>1500</v>
      </c>
      <c r="H200" s="9">
        <v>0</v>
      </c>
      <c r="I200">
        <v>416.16</v>
      </c>
      <c r="J200" s="10">
        <f t="shared" si="6"/>
        <v>12</v>
      </c>
      <c r="K200" s="11">
        <f t="shared" si="7"/>
        <v>0.27744000000000002</v>
      </c>
      <c r="L200" t="str">
        <f>VLOOKUP(C200,Customers!$A$2:$F$1001,2,FALSE())</f>
        <v>Robert Davis</v>
      </c>
      <c r="M200" t="str">
        <f>VLOOKUP(C200,Customers!$A$2:$F$1001,3,FALSE())</f>
        <v>South</v>
      </c>
      <c r="N200" t="str">
        <f>VLOOKUP(C200,Customers!$A$2:$F$1001,4,FALSE())</f>
        <v>Consumer</v>
      </c>
    </row>
    <row r="201" spans="1:14" x14ac:dyDescent="0.25">
      <c r="A201">
        <v>200</v>
      </c>
      <c r="B201" t="s">
        <v>1966</v>
      </c>
      <c r="C201" t="s">
        <v>412</v>
      </c>
      <c r="D201" t="s">
        <v>1812</v>
      </c>
      <c r="E201">
        <v>3</v>
      </c>
      <c r="F201">
        <v>50</v>
      </c>
      <c r="G201">
        <v>150</v>
      </c>
      <c r="H201" s="9">
        <v>0.2</v>
      </c>
      <c r="I201">
        <v>22.24</v>
      </c>
      <c r="J201" s="10">
        <f t="shared" si="6"/>
        <v>9</v>
      </c>
      <c r="K201" s="11">
        <f t="shared" si="7"/>
        <v>0.14826666666666666</v>
      </c>
      <c r="L201" t="str">
        <f>VLOOKUP(C201,Customers!$A$2:$F$1001,2,FALSE())</f>
        <v>Joseph Gonzalez</v>
      </c>
      <c r="M201" t="str">
        <f>VLOOKUP(C201,Customers!$A$2:$F$1001,3,FALSE())</f>
        <v>East</v>
      </c>
      <c r="N201" t="str">
        <f>VLOOKUP(C201,Customers!$A$2:$F$1001,4,FALSE())</f>
        <v>Corporate</v>
      </c>
    </row>
    <row r="202" spans="1:14" x14ac:dyDescent="0.25">
      <c r="A202">
        <v>201</v>
      </c>
      <c r="B202" t="s">
        <v>1967</v>
      </c>
      <c r="C202" t="s">
        <v>414</v>
      </c>
      <c r="D202" t="s">
        <v>1816</v>
      </c>
      <c r="E202">
        <v>1</v>
      </c>
      <c r="F202">
        <v>25</v>
      </c>
      <c r="G202">
        <v>25</v>
      </c>
      <c r="H202" s="9">
        <v>0.15</v>
      </c>
      <c r="I202">
        <v>0.35</v>
      </c>
      <c r="J202" s="10">
        <f t="shared" si="6"/>
        <v>10</v>
      </c>
      <c r="K202" s="11">
        <f t="shared" si="7"/>
        <v>1.3999999999999999E-2</v>
      </c>
      <c r="L202" t="str">
        <f>VLOOKUP(C202,Customers!$A$2:$F$1001,2,FALSE())</f>
        <v>Deborah Young</v>
      </c>
      <c r="M202" t="str">
        <f>VLOOKUP(C202,Customers!$A$2:$F$1001,3,FALSE())</f>
        <v>East</v>
      </c>
      <c r="N202" t="str">
        <f>VLOOKUP(C202,Customers!$A$2:$F$1001,4,FALSE())</f>
        <v>Consumer</v>
      </c>
    </row>
    <row r="203" spans="1:14" x14ac:dyDescent="0.25">
      <c r="A203">
        <v>202</v>
      </c>
      <c r="B203" t="s">
        <v>1968</v>
      </c>
      <c r="C203" t="s">
        <v>416</v>
      </c>
      <c r="D203" t="s">
        <v>1814</v>
      </c>
      <c r="E203">
        <v>4</v>
      </c>
      <c r="F203">
        <v>300</v>
      </c>
      <c r="G203">
        <v>1200</v>
      </c>
      <c r="H203" s="9">
        <v>0.2</v>
      </c>
      <c r="I203">
        <v>13.07</v>
      </c>
      <c r="J203" s="10">
        <f t="shared" si="6"/>
        <v>3</v>
      </c>
      <c r="K203" s="11">
        <f t="shared" si="7"/>
        <v>1.0891666666666668E-2</v>
      </c>
      <c r="L203" t="str">
        <f>VLOOKUP(C203,Customers!$A$2:$F$1001,2,FALSE())</f>
        <v>Thomas Hill</v>
      </c>
      <c r="M203" t="str">
        <f>VLOOKUP(C203,Customers!$A$2:$F$1001,3,FALSE())</f>
        <v>East</v>
      </c>
      <c r="N203" t="str">
        <f>VLOOKUP(C203,Customers!$A$2:$F$1001,4,FALSE())</f>
        <v>Home Office</v>
      </c>
    </row>
    <row r="204" spans="1:14" x14ac:dyDescent="0.25">
      <c r="A204">
        <v>203</v>
      </c>
      <c r="B204" t="s">
        <v>1856</v>
      </c>
      <c r="C204" t="s">
        <v>417</v>
      </c>
      <c r="D204" t="s">
        <v>1814</v>
      </c>
      <c r="E204">
        <v>2</v>
      </c>
      <c r="F204">
        <v>500</v>
      </c>
      <c r="G204">
        <v>1000</v>
      </c>
      <c r="H204" s="9">
        <v>0.2</v>
      </c>
      <c r="I204">
        <v>26.76</v>
      </c>
      <c r="J204" s="10">
        <f t="shared" si="6"/>
        <v>5</v>
      </c>
      <c r="K204" s="11">
        <f t="shared" si="7"/>
        <v>2.6760000000000003E-2</v>
      </c>
      <c r="L204" t="str">
        <f>VLOOKUP(C204,Customers!$A$2:$F$1001,2,FALSE())</f>
        <v>Matthew Lee</v>
      </c>
      <c r="M204" t="str">
        <f>VLOOKUP(C204,Customers!$A$2:$F$1001,3,FALSE())</f>
        <v>West</v>
      </c>
      <c r="N204" t="str">
        <f>VLOOKUP(C204,Customers!$A$2:$F$1001,4,FALSE())</f>
        <v>Home Office</v>
      </c>
    </row>
    <row r="205" spans="1:14" x14ac:dyDescent="0.25">
      <c r="A205">
        <v>204</v>
      </c>
      <c r="B205" t="s">
        <v>1932</v>
      </c>
      <c r="C205" t="s">
        <v>419</v>
      </c>
      <c r="D205" t="s">
        <v>1812</v>
      </c>
      <c r="E205">
        <v>1</v>
      </c>
      <c r="F205">
        <v>25</v>
      </c>
      <c r="G205">
        <v>25</v>
      </c>
      <c r="H205" s="9">
        <v>0.1</v>
      </c>
      <c r="I205">
        <v>6.17</v>
      </c>
      <c r="J205" s="10">
        <f t="shared" si="6"/>
        <v>9</v>
      </c>
      <c r="K205" s="11">
        <f t="shared" si="7"/>
        <v>0.24679999999999999</v>
      </c>
      <c r="L205" t="str">
        <f>VLOOKUP(C205,Customers!$A$2:$F$1001,2,FALSE())</f>
        <v>Nancy Garcia</v>
      </c>
      <c r="M205" t="str">
        <f>VLOOKUP(C205,Customers!$A$2:$F$1001,3,FALSE())</f>
        <v>East</v>
      </c>
      <c r="N205" t="str">
        <f>VLOOKUP(C205,Customers!$A$2:$F$1001,4,FALSE())</f>
        <v>Consumer</v>
      </c>
    </row>
    <row r="206" spans="1:14" x14ac:dyDescent="0.25">
      <c r="A206">
        <v>205</v>
      </c>
      <c r="B206" t="s">
        <v>1969</v>
      </c>
      <c r="C206" t="s">
        <v>421</v>
      </c>
      <c r="D206" t="s">
        <v>1814</v>
      </c>
      <c r="E206">
        <v>1</v>
      </c>
      <c r="F206">
        <v>25</v>
      </c>
      <c r="G206">
        <v>25</v>
      </c>
      <c r="H206" s="9">
        <v>0.2</v>
      </c>
      <c r="I206">
        <v>-0.23</v>
      </c>
      <c r="J206" s="10">
        <f t="shared" si="6"/>
        <v>11</v>
      </c>
      <c r="K206" s="11">
        <f t="shared" si="7"/>
        <v>-9.1999999999999998E-3</v>
      </c>
      <c r="L206" t="str">
        <f>VLOOKUP(C206,Customers!$A$2:$F$1001,2,FALSE())</f>
        <v>George Smith</v>
      </c>
      <c r="M206" t="str">
        <f>VLOOKUP(C206,Customers!$A$2:$F$1001,3,FALSE())</f>
        <v>North</v>
      </c>
      <c r="N206" t="str">
        <f>VLOOKUP(C206,Customers!$A$2:$F$1001,4,FALSE())</f>
        <v>Consumer</v>
      </c>
    </row>
    <row r="207" spans="1:14" x14ac:dyDescent="0.25">
      <c r="A207">
        <v>206</v>
      </c>
      <c r="B207" t="s">
        <v>1826</v>
      </c>
      <c r="C207" t="s">
        <v>423</v>
      </c>
      <c r="D207" t="s">
        <v>1814</v>
      </c>
      <c r="E207">
        <v>1</v>
      </c>
      <c r="F207">
        <v>25</v>
      </c>
      <c r="G207">
        <v>25</v>
      </c>
      <c r="H207" s="9">
        <v>0.05</v>
      </c>
      <c r="I207">
        <v>5.16</v>
      </c>
      <c r="J207" s="10">
        <f t="shared" si="6"/>
        <v>8</v>
      </c>
      <c r="K207" s="11">
        <f t="shared" si="7"/>
        <v>0.2064</v>
      </c>
      <c r="L207" t="str">
        <f>VLOOKUP(C207,Customers!$A$2:$F$1001,2,FALSE())</f>
        <v>David Martinez</v>
      </c>
      <c r="M207" t="str">
        <f>VLOOKUP(C207,Customers!$A$2:$F$1001,3,FALSE())</f>
        <v>North</v>
      </c>
      <c r="N207" t="str">
        <f>VLOOKUP(C207,Customers!$A$2:$F$1001,4,FALSE())</f>
        <v>Corporate</v>
      </c>
    </row>
    <row r="208" spans="1:14" x14ac:dyDescent="0.25">
      <c r="A208">
        <v>207</v>
      </c>
      <c r="B208" t="s">
        <v>1904</v>
      </c>
      <c r="C208" t="s">
        <v>425</v>
      </c>
      <c r="D208" t="s">
        <v>1812</v>
      </c>
      <c r="E208">
        <v>2</v>
      </c>
      <c r="F208">
        <v>25</v>
      </c>
      <c r="G208">
        <v>50</v>
      </c>
      <c r="H208" s="9">
        <v>0</v>
      </c>
      <c r="I208">
        <v>16.29</v>
      </c>
      <c r="J208" s="10">
        <f t="shared" si="6"/>
        <v>4</v>
      </c>
      <c r="K208" s="11">
        <f t="shared" si="7"/>
        <v>0.32579999999999998</v>
      </c>
      <c r="L208" t="str">
        <f>VLOOKUP(C208,Customers!$A$2:$F$1001,2,FALSE())</f>
        <v>Susan Garcia</v>
      </c>
      <c r="M208" t="str">
        <f>VLOOKUP(C208,Customers!$A$2:$F$1001,3,FALSE())</f>
        <v>East</v>
      </c>
      <c r="N208" t="str">
        <f>VLOOKUP(C208,Customers!$A$2:$F$1001,4,FALSE())</f>
        <v>Corporate</v>
      </c>
    </row>
    <row r="209" spans="1:14" x14ac:dyDescent="0.25">
      <c r="A209">
        <v>208</v>
      </c>
      <c r="B209" t="s">
        <v>1949</v>
      </c>
      <c r="C209" t="s">
        <v>427</v>
      </c>
      <c r="D209" t="s">
        <v>1816</v>
      </c>
      <c r="E209">
        <v>4</v>
      </c>
      <c r="F209">
        <v>50</v>
      </c>
      <c r="G209">
        <v>200</v>
      </c>
      <c r="H209" s="9">
        <v>0</v>
      </c>
      <c r="I209">
        <v>26.35</v>
      </c>
      <c r="J209" s="10">
        <f t="shared" si="6"/>
        <v>10</v>
      </c>
      <c r="K209" s="11">
        <f t="shared" si="7"/>
        <v>0.13175000000000001</v>
      </c>
      <c r="L209" t="str">
        <f>VLOOKUP(C209,Customers!$A$2:$F$1001,2,FALSE())</f>
        <v>James Ramirez</v>
      </c>
      <c r="M209" t="str">
        <f>VLOOKUP(C209,Customers!$A$2:$F$1001,3,FALSE())</f>
        <v>South</v>
      </c>
      <c r="N209" t="str">
        <f>VLOOKUP(C209,Customers!$A$2:$F$1001,4,FALSE())</f>
        <v>Consumer</v>
      </c>
    </row>
    <row r="210" spans="1:14" x14ac:dyDescent="0.25">
      <c r="A210">
        <v>209</v>
      </c>
      <c r="B210" t="s">
        <v>1970</v>
      </c>
      <c r="C210" t="s">
        <v>429</v>
      </c>
      <c r="D210" t="s">
        <v>1816</v>
      </c>
      <c r="E210">
        <v>4</v>
      </c>
      <c r="F210">
        <v>50</v>
      </c>
      <c r="G210">
        <v>200</v>
      </c>
      <c r="H210" s="9">
        <v>0</v>
      </c>
      <c r="I210">
        <v>36.76</v>
      </c>
      <c r="J210" s="10">
        <f t="shared" si="6"/>
        <v>12</v>
      </c>
      <c r="K210" s="11">
        <f t="shared" si="7"/>
        <v>0.18379999999999999</v>
      </c>
      <c r="L210" t="str">
        <f>VLOOKUP(C210,Customers!$A$2:$F$1001,2,FALSE())</f>
        <v>Edward Jones</v>
      </c>
      <c r="M210" t="str">
        <f>VLOOKUP(C210,Customers!$A$2:$F$1001,3,FALSE())</f>
        <v>North</v>
      </c>
      <c r="N210" t="str">
        <f>VLOOKUP(C210,Customers!$A$2:$F$1001,4,FALSE())</f>
        <v>Consumer</v>
      </c>
    </row>
    <row r="211" spans="1:14" x14ac:dyDescent="0.25">
      <c r="A211">
        <v>210</v>
      </c>
      <c r="B211" t="s">
        <v>1971</v>
      </c>
      <c r="C211" t="s">
        <v>431</v>
      </c>
      <c r="D211" t="s">
        <v>1816</v>
      </c>
      <c r="E211">
        <v>4</v>
      </c>
      <c r="F211">
        <v>50</v>
      </c>
      <c r="G211">
        <v>200</v>
      </c>
      <c r="H211" s="9">
        <v>0</v>
      </c>
      <c r="I211">
        <v>35.85</v>
      </c>
      <c r="J211" s="10">
        <f t="shared" si="6"/>
        <v>4</v>
      </c>
      <c r="K211" s="11">
        <f t="shared" si="7"/>
        <v>0.17925000000000002</v>
      </c>
      <c r="L211" t="str">
        <f>VLOOKUP(C211,Customers!$A$2:$F$1001,2,FALSE())</f>
        <v>Joseph Lee</v>
      </c>
      <c r="M211" t="str">
        <f>VLOOKUP(C211,Customers!$A$2:$F$1001,3,FALSE())</f>
        <v>South</v>
      </c>
      <c r="N211" t="str">
        <f>VLOOKUP(C211,Customers!$A$2:$F$1001,4,FALSE())</f>
        <v>Consumer</v>
      </c>
    </row>
    <row r="212" spans="1:14" x14ac:dyDescent="0.25">
      <c r="A212">
        <v>211</v>
      </c>
      <c r="B212" t="s">
        <v>1972</v>
      </c>
      <c r="C212" t="s">
        <v>433</v>
      </c>
      <c r="D212" t="s">
        <v>1812</v>
      </c>
      <c r="E212">
        <v>3</v>
      </c>
      <c r="F212">
        <v>500</v>
      </c>
      <c r="G212">
        <v>1500</v>
      </c>
      <c r="H212" s="9">
        <v>0.05</v>
      </c>
      <c r="I212">
        <v>403.21</v>
      </c>
      <c r="J212" s="10">
        <f t="shared" si="6"/>
        <v>1</v>
      </c>
      <c r="K212" s="11">
        <f t="shared" si="7"/>
        <v>0.26880666666666664</v>
      </c>
      <c r="L212" t="str">
        <f>VLOOKUP(C212,Customers!$A$2:$F$1001,2,FALSE())</f>
        <v>George Ramirez</v>
      </c>
      <c r="M212" t="str">
        <f>VLOOKUP(C212,Customers!$A$2:$F$1001,3,FALSE())</f>
        <v>East</v>
      </c>
      <c r="N212" t="str">
        <f>VLOOKUP(C212,Customers!$A$2:$F$1001,4,FALSE())</f>
        <v>Home Office</v>
      </c>
    </row>
    <row r="213" spans="1:14" x14ac:dyDescent="0.25">
      <c r="A213">
        <v>212</v>
      </c>
      <c r="B213" t="s">
        <v>1973</v>
      </c>
      <c r="C213" t="s">
        <v>435</v>
      </c>
      <c r="D213" t="s">
        <v>1814</v>
      </c>
      <c r="E213">
        <v>3</v>
      </c>
      <c r="F213">
        <v>500</v>
      </c>
      <c r="G213">
        <v>1500</v>
      </c>
      <c r="H213" s="9">
        <v>0.1</v>
      </c>
      <c r="I213">
        <v>161.99</v>
      </c>
      <c r="J213" s="10">
        <f t="shared" si="6"/>
        <v>6</v>
      </c>
      <c r="K213" s="11">
        <f t="shared" si="7"/>
        <v>0.10799333333333334</v>
      </c>
      <c r="L213" t="str">
        <f>VLOOKUP(C213,Customers!$A$2:$F$1001,2,FALSE())</f>
        <v>Joshua White</v>
      </c>
      <c r="M213" t="str">
        <f>VLOOKUP(C213,Customers!$A$2:$F$1001,3,FALSE())</f>
        <v>West</v>
      </c>
      <c r="N213" t="str">
        <f>VLOOKUP(C213,Customers!$A$2:$F$1001,4,FALSE())</f>
        <v>Consumer</v>
      </c>
    </row>
    <row r="214" spans="1:14" x14ac:dyDescent="0.25">
      <c r="A214">
        <v>213</v>
      </c>
      <c r="B214" t="s">
        <v>1918</v>
      </c>
      <c r="C214" t="s">
        <v>437</v>
      </c>
      <c r="D214" t="s">
        <v>1812</v>
      </c>
      <c r="E214">
        <v>3</v>
      </c>
      <c r="F214">
        <v>500</v>
      </c>
      <c r="G214">
        <v>1500</v>
      </c>
      <c r="H214" s="9">
        <v>0.15</v>
      </c>
      <c r="I214">
        <v>225.95</v>
      </c>
      <c r="J214" s="10">
        <f t="shared" si="6"/>
        <v>7</v>
      </c>
      <c r="K214" s="11">
        <f t="shared" si="7"/>
        <v>0.15063333333333331</v>
      </c>
      <c r="L214" t="str">
        <f>VLOOKUP(C214,Customers!$A$2:$F$1001,2,FALSE())</f>
        <v>Christopher Davis</v>
      </c>
      <c r="M214" t="str">
        <f>VLOOKUP(C214,Customers!$A$2:$F$1001,3,FALSE())</f>
        <v>East</v>
      </c>
      <c r="N214" t="str">
        <f>VLOOKUP(C214,Customers!$A$2:$F$1001,4,FALSE())</f>
        <v>Home Office</v>
      </c>
    </row>
    <row r="215" spans="1:14" x14ac:dyDescent="0.25">
      <c r="A215">
        <v>214</v>
      </c>
      <c r="B215" t="s">
        <v>1884</v>
      </c>
      <c r="C215" t="s">
        <v>439</v>
      </c>
      <c r="D215" t="s">
        <v>1812</v>
      </c>
      <c r="E215">
        <v>2</v>
      </c>
      <c r="F215">
        <v>30</v>
      </c>
      <c r="G215">
        <v>60</v>
      </c>
      <c r="H215" s="9">
        <v>0.1</v>
      </c>
      <c r="I215">
        <v>15.12</v>
      </c>
      <c r="J215" s="10">
        <f t="shared" si="6"/>
        <v>12</v>
      </c>
      <c r="K215" s="11">
        <f t="shared" si="7"/>
        <v>0.252</v>
      </c>
      <c r="L215" t="str">
        <f>VLOOKUP(C215,Customers!$A$2:$F$1001,2,FALSE())</f>
        <v>Carol Allen</v>
      </c>
      <c r="M215" t="str">
        <f>VLOOKUP(C215,Customers!$A$2:$F$1001,3,FALSE())</f>
        <v>South</v>
      </c>
      <c r="N215" t="str">
        <f>VLOOKUP(C215,Customers!$A$2:$F$1001,4,FALSE())</f>
        <v>Consumer</v>
      </c>
    </row>
    <row r="216" spans="1:14" x14ac:dyDescent="0.25">
      <c r="A216">
        <v>215</v>
      </c>
      <c r="B216" t="s">
        <v>1837</v>
      </c>
      <c r="C216" t="s">
        <v>441</v>
      </c>
      <c r="D216" t="s">
        <v>1814</v>
      </c>
      <c r="E216">
        <v>3</v>
      </c>
      <c r="F216">
        <v>500</v>
      </c>
      <c r="G216">
        <v>1500</v>
      </c>
      <c r="H216" s="9">
        <v>0</v>
      </c>
      <c r="I216">
        <v>330</v>
      </c>
      <c r="J216" s="10">
        <f t="shared" si="6"/>
        <v>11</v>
      </c>
      <c r="K216" s="11">
        <f t="shared" si="7"/>
        <v>0.22</v>
      </c>
      <c r="L216" t="str">
        <f>VLOOKUP(C216,Customers!$A$2:$F$1001,2,FALSE())</f>
        <v>Mary Lewis</v>
      </c>
      <c r="M216" t="str">
        <f>VLOOKUP(C216,Customers!$A$2:$F$1001,3,FALSE())</f>
        <v>North</v>
      </c>
      <c r="N216" t="str">
        <f>VLOOKUP(C216,Customers!$A$2:$F$1001,4,FALSE())</f>
        <v>Home Office</v>
      </c>
    </row>
    <row r="217" spans="1:14" x14ac:dyDescent="0.25">
      <c r="A217">
        <v>216</v>
      </c>
      <c r="B217" t="s">
        <v>1947</v>
      </c>
      <c r="C217" t="s">
        <v>443</v>
      </c>
      <c r="D217" t="s">
        <v>1816</v>
      </c>
      <c r="E217">
        <v>2</v>
      </c>
      <c r="F217">
        <v>50</v>
      </c>
      <c r="G217">
        <v>100</v>
      </c>
      <c r="H217" s="9">
        <v>0.1</v>
      </c>
      <c r="I217">
        <v>4.07</v>
      </c>
      <c r="J217" s="10">
        <f t="shared" si="6"/>
        <v>7</v>
      </c>
      <c r="K217" s="11">
        <f t="shared" si="7"/>
        <v>4.07E-2</v>
      </c>
      <c r="L217" t="str">
        <f>VLOOKUP(C217,Customers!$A$2:$F$1001,2,FALSE())</f>
        <v>John Robinson</v>
      </c>
      <c r="M217" t="str">
        <f>VLOOKUP(C217,Customers!$A$2:$F$1001,3,FALSE())</f>
        <v>East</v>
      </c>
      <c r="N217" t="str">
        <f>VLOOKUP(C217,Customers!$A$2:$F$1001,4,FALSE())</f>
        <v>Consumer</v>
      </c>
    </row>
    <row r="218" spans="1:14" x14ac:dyDescent="0.25">
      <c r="A218">
        <v>217</v>
      </c>
      <c r="B218" t="s">
        <v>1974</v>
      </c>
      <c r="C218" t="s">
        <v>444</v>
      </c>
      <c r="D218" t="s">
        <v>1816</v>
      </c>
      <c r="E218">
        <v>4</v>
      </c>
      <c r="F218">
        <v>50</v>
      </c>
      <c r="G218">
        <v>200</v>
      </c>
      <c r="H218" s="9">
        <v>0.05</v>
      </c>
      <c r="I218">
        <v>22.48</v>
      </c>
      <c r="J218" s="10">
        <f t="shared" si="6"/>
        <v>8</v>
      </c>
      <c r="K218" s="11">
        <f t="shared" si="7"/>
        <v>0.1124</v>
      </c>
      <c r="L218" t="str">
        <f>VLOOKUP(C218,Customers!$A$2:$F$1001,2,FALSE())</f>
        <v>Dorothy Garcia</v>
      </c>
      <c r="M218" t="str">
        <f>VLOOKUP(C218,Customers!$A$2:$F$1001,3,FALSE())</f>
        <v>South</v>
      </c>
      <c r="N218" t="str">
        <f>VLOOKUP(C218,Customers!$A$2:$F$1001,4,FALSE())</f>
        <v>Consumer</v>
      </c>
    </row>
    <row r="219" spans="1:14" x14ac:dyDescent="0.25">
      <c r="A219">
        <v>218</v>
      </c>
      <c r="B219" t="s">
        <v>1975</v>
      </c>
      <c r="C219" t="s">
        <v>446</v>
      </c>
      <c r="D219" t="s">
        <v>1812</v>
      </c>
      <c r="E219">
        <v>3</v>
      </c>
      <c r="F219">
        <v>30</v>
      </c>
      <c r="G219">
        <v>90</v>
      </c>
      <c r="H219" s="9">
        <v>0</v>
      </c>
      <c r="I219">
        <v>31.26</v>
      </c>
      <c r="J219" s="10">
        <f t="shared" si="6"/>
        <v>9</v>
      </c>
      <c r="K219" s="11">
        <f t="shared" si="7"/>
        <v>0.34733333333333333</v>
      </c>
      <c r="L219" t="str">
        <f>VLOOKUP(C219,Customers!$A$2:$F$1001,2,FALSE())</f>
        <v>Nancy Jones</v>
      </c>
      <c r="M219" t="str">
        <f>VLOOKUP(C219,Customers!$A$2:$F$1001,3,FALSE())</f>
        <v>East</v>
      </c>
      <c r="N219" t="str">
        <f>VLOOKUP(C219,Customers!$A$2:$F$1001,4,FALSE())</f>
        <v>Home Office</v>
      </c>
    </row>
    <row r="220" spans="1:14" x14ac:dyDescent="0.25">
      <c r="A220">
        <v>219</v>
      </c>
      <c r="B220" t="s">
        <v>1976</v>
      </c>
      <c r="C220" t="s">
        <v>448</v>
      </c>
      <c r="D220" t="s">
        <v>1816</v>
      </c>
      <c r="E220">
        <v>3</v>
      </c>
      <c r="F220">
        <v>30</v>
      </c>
      <c r="G220">
        <v>90</v>
      </c>
      <c r="H220" s="9">
        <v>0</v>
      </c>
      <c r="I220">
        <v>16.23</v>
      </c>
      <c r="J220" s="10">
        <f t="shared" si="6"/>
        <v>8</v>
      </c>
      <c r="K220" s="11">
        <f t="shared" si="7"/>
        <v>0.18033333333333335</v>
      </c>
      <c r="L220" t="str">
        <f>VLOOKUP(C220,Customers!$A$2:$F$1001,2,FALSE())</f>
        <v>Mark Nguyen</v>
      </c>
      <c r="M220" t="str">
        <f>VLOOKUP(C220,Customers!$A$2:$F$1001,3,FALSE())</f>
        <v>East</v>
      </c>
      <c r="N220" t="str">
        <f>VLOOKUP(C220,Customers!$A$2:$F$1001,4,FALSE())</f>
        <v>Home Office</v>
      </c>
    </row>
    <row r="221" spans="1:14" x14ac:dyDescent="0.25">
      <c r="A221">
        <v>220</v>
      </c>
      <c r="B221" t="s">
        <v>1977</v>
      </c>
      <c r="C221" t="s">
        <v>450</v>
      </c>
      <c r="D221" t="s">
        <v>1812</v>
      </c>
      <c r="E221">
        <v>1</v>
      </c>
      <c r="F221">
        <v>500</v>
      </c>
      <c r="G221">
        <v>500</v>
      </c>
      <c r="H221" s="9">
        <v>0.05</v>
      </c>
      <c r="I221">
        <v>140.44</v>
      </c>
      <c r="J221" s="10">
        <f t="shared" si="6"/>
        <v>3</v>
      </c>
      <c r="K221" s="11">
        <f t="shared" si="7"/>
        <v>0.28088000000000002</v>
      </c>
      <c r="L221" t="str">
        <f>VLOOKUP(C221,Customers!$A$2:$F$1001,2,FALSE())</f>
        <v>John Thomas</v>
      </c>
      <c r="M221" t="str">
        <f>VLOOKUP(C221,Customers!$A$2:$F$1001,3,FALSE())</f>
        <v>North</v>
      </c>
      <c r="N221" t="str">
        <f>VLOOKUP(C221,Customers!$A$2:$F$1001,4,FALSE())</f>
        <v>Consumer</v>
      </c>
    </row>
    <row r="222" spans="1:14" x14ac:dyDescent="0.25">
      <c r="A222">
        <v>221</v>
      </c>
      <c r="B222" t="s">
        <v>1912</v>
      </c>
      <c r="C222" t="s">
        <v>452</v>
      </c>
      <c r="D222" t="s">
        <v>1812</v>
      </c>
      <c r="E222">
        <v>2</v>
      </c>
      <c r="F222">
        <v>300</v>
      </c>
      <c r="G222">
        <v>600</v>
      </c>
      <c r="H222" s="9">
        <v>0</v>
      </c>
      <c r="I222">
        <v>206.15</v>
      </c>
      <c r="J222" s="10">
        <f t="shared" si="6"/>
        <v>5</v>
      </c>
      <c r="K222" s="11">
        <f t="shared" si="7"/>
        <v>0.34358333333333335</v>
      </c>
      <c r="L222" t="str">
        <f>VLOOKUP(C222,Customers!$A$2:$F$1001,2,FALSE())</f>
        <v>Edward Gonzalez</v>
      </c>
      <c r="M222" t="str">
        <f>VLOOKUP(C222,Customers!$A$2:$F$1001,3,FALSE())</f>
        <v>North</v>
      </c>
      <c r="N222" t="str">
        <f>VLOOKUP(C222,Customers!$A$2:$F$1001,4,FALSE())</f>
        <v>Consumer</v>
      </c>
    </row>
    <row r="223" spans="1:14" x14ac:dyDescent="0.25">
      <c r="A223">
        <v>222</v>
      </c>
      <c r="B223" t="s">
        <v>1978</v>
      </c>
      <c r="C223" t="s">
        <v>453</v>
      </c>
      <c r="D223" t="s">
        <v>1814</v>
      </c>
      <c r="E223">
        <v>4</v>
      </c>
      <c r="F223">
        <v>30</v>
      </c>
      <c r="G223">
        <v>120</v>
      </c>
      <c r="H223" s="9">
        <v>0.15</v>
      </c>
      <c r="I223">
        <v>4.88</v>
      </c>
      <c r="J223" s="10">
        <f t="shared" si="6"/>
        <v>4</v>
      </c>
      <c r="K223" s="11">
        <f t="shared" si="7"/>
        <v>4.0666666666666663E-2</v>
      </c>
      <c r="L223" t="str">
        <f>VLOOKUP(C223,Customers!$A$2:$F$1001,2,FALSE())</f>
        <v>Michael Martin</v>
      </c>
      <c r="M223" t="str">
        <f>VLOOKUP(C223,Customers!$A$2:$F$1001,3,FALSE())</f>
        <v>North</v>
      </c>
      <c r="N223" t="str">
        <f>VLOOKUP(C223,Customers!$A$2:$F$1001,4,FALSE())</f>
        <v>Consumer</v>
      </c>
    </row>
    <row r="224" spans="1:14" x14ac:dyDescent="0.25">
      <c r="A224">
        <v>223</v>
      </c>
      <c r="B224" t="s">
        <v>1928</v>
      </c>
      <c r="C224" t="s">
        <v>455</v>
      </c>
      <c r="D224" t="s">
        <v>1814</v>
      </c>
      <c r="E224">
        <v>1</v>
      </c>
      <c r="F224">
        <v>25</v>
      </c>
      <c r="G224">
        <v>25</v>
      </c>
      <c r="H224" s="9">
        <v>0.15</v>
      </c>
      <c r="I224">
        <v>2.5099999999999998</v>
      </c>
      <c r="J224" s="10">
        <f t="shared" si="6"/>
        <v>2</v>
      </c>
      <c r="K224" s="11">
        <f t="shared" si="7"/>
        <v>0.10039999999999999</v>
      </c>
      <c r="L224" t="str">
        <f>VLOOKUP(C224,Customers!$A$2:$F$1001,2,FALSE())</f>
        <v>Margaret Clark</v>
      </c>
      <c r="M224" t="str">
        <f>VLOOKUP(C224,Customers!$A$2:$F$1001,3,FALSE())</f>
        <v>West</v>
      </c>
      <c r="N224" t="str">
        <f>VLOOKUP(C224,Customers!$A$2:$F$1001,4,FALSE())</f>
        <v>Consumer</v>
      </c>
    </row>
    <row r="225" spans="1:14" x14ac:dyDescent="0.25">
      <c r="A225">
        <v>224</v>
      </c>
      <c r="B225" t="s">
        <v>1979</v>
      </c>
      <c r="C225" t="s">
        <v>457</v>
      </c>
      <c r="D225" t="s">
        <v>1814</v>
      </c>
      <c r="E225">
        <v>1</v>
      </c>
      <c r="F225">
        <v>50</v>
      </c>
      <c r="G225">
        <v>50</v>
      </c>
      <c r="H225" s="9">
        <v>0.1</v>
      </c>
      <c r="I225">
        <v>5.35</v>
      </c>
      <c r="J225" s="10">
        <f t="shared" si="6"/>
        <v>6</v>
      </c>
      <c r="K225" s="11">
        <f t="shared" si="7"/>
        <v>0.107</v>
      </c>
      <c r="L225" t="str">
        <f>VLOOKUP(C225,Customers!$A$2:$F$1001,2,FALSE())</f>
        <v>Jessica Hill</v>
      </c>
      <c r="M225" t="str">
        <f>VLOOKUP(C225,Customers!$A$2:$F$1001,3,FALSE())</f>
        <v>East</v>
      </c>
      <c r="N225" t="str">
        <f>VLOOKUP(C225,Customers!$A$2:$F$1001,4,FALSE())</f>
        <v>Consumer</v>
      </c>
    </row>
    <row r="226" spans="1:14" x14ac:dyDescent="0.25">
      <c r="A226">
        <v>225</v>
      </c>
      <c r="B226" t="s">
        <v>1980</v>
      </c>
      <c r="C226" t="s">
        <v>459</v>
      </c>
      <c r="D226" t="s">
        <v>1812</v>
      </c>
      <c r="E226">
        <v>4</v>
      </c>
      <c r="F226">
        <v>25</v>
      </c>
      <c r="G226">
        <v>100</v>
      </c>
      <c r="H226" s="9">
        <v>0</v>
      </c>
      <c r="I226">
        <v>36.049999999999997</v>
      </c>
      <c r="J226" s="10">
        <f t="shared" si="6"/>
        <v>1</v>
      </c>
      <c r="K226" s="11">
        <f t="shared" si="7"/>
        <v>0.36049999999999999</v>
      </c>
      <c r="L226" t="str">
        <f>VLOOKUP(C226,Customers!$A$2:$F$1001,2,FALSE())</f>
        <v>Anthony Lopez</v>
      </c>
      <c r="M226" t="str">
        <f>VLOOKUP(C226,Customers!$A$2:$F$1001,3,FALSE())</f>
        <v>North</v>
      </c>
      <c r="N226" t="str">
        <f>VLOOKUP(C226,Customers!$A$2:$F$1001,4,FALSE())</f>
        <v>Home Office</v>
      </c>
    </row>
    <row r="227" spans="1:14" x14ac:dyDescent="0.25">
      <c r="A227">
        <v>226</v>
      </c>
      <c r="B227" t="s">
        <v>1842</v>
      </c>
      <c r="C227" t="s">
        <v>461</v>
      </c>
      <c r="D227" t="s">
        <v>1814</v>
      </c>
      <c r="E227">
        <v>1</v>
      </c>
      <c r="F227">
        <v>50</v>
      </c>
      <c r="G227">
        <v>50</v>
      </c>
      <c r="H227" s="9">
        <v>0.15</v>
      </c>
      <c r="I227">
        <v>3.39</v>
      </c>
      <c r="J227" s="10">
        <f t="shared" si="6"/>
        <v>10</v>
      </c>
      <c r="K227" s="11">
        <f t="shared" si="7"/>
        <v>6.7799999999999999E-2</v>
      </c>
      <c r="L227" t="str">
        <f>VLOOKUP(C227,Customers!$A$2:$F$1001,2,FALSE())</f>
        <v>Edward Torres</v>
      </c>
      <c r="M227" t="str">
        <f>VLOOKUP(C227,Customers!$A$2:$F$1001,3,FALSE())</f>
        <v>West</v>
      </c>
      <c r="N227" t="str">
        <f>VLOOKUP(C227,Customers!$A$2:$F$1001,4,FALSE())</f>
        <v>Consumer</v>
      </c>
    </row>
    <row r="228" spans="1:14" x14ac:dyDescent="0.25">
      <c r="A228">
        <v>227</v>
      </c>
      <c r="B228" t="s">
        <v>1934</v>
      </c>
      <c r="C228" t="s">
        <v>463</v>
      </c>
      <c r="D228" t="s">
        <v>1816</v>
      </c>
      <c r="E228">
        <v>2</v>
      </c>
      <c r="F228">
        <v>50</v>
      </c>
      <c r="G228">
        <v>100</v>
      </c>
      <c r="H228" s="9">
        <v>0.1</v>
      </c>
      <c r="I228">
        <v>-0.16</v>
      </c>
      <c r="J228" s="10">
        <f t="shared" si="6"/>
        <v>10</v>
      </c>
      <c r="K228" s="11">
        <f t="shared" si="7"/>
        <v>-1.6000000000000001E-3</v>
      </c>
      <c r="L228" t="str">
        <f>VLOOKUP(C228,Customers!$A$2:$F$1001,2,FALSE())</f>
        <v>Matthew Smith</v>
      </c>
      <c r="M228" t="str">
        <f>VLOOKUP(C228,Customers!$A$2:$F$1001,3,FALSE())</f>
        <v>South</v>
      </c>
      <c r="N228" t="str">
        <f>VLOOKUP(C228,Customers!$A$2:$F$1001,4,FALSE())</f>
        <v>Corporate</v>
      </c>
    </row>
    <row r="229" spans="1:14" x14ac:dyDescent="0.25">
      <c r="A229">
        <v>228</v>
      </c>
      <c r="B229" t="s">
        <v>1899</v>
      </c>
      <c r="C229" t="s">
        <v>465</v>
      </c>
      <c r="D229" t="s">
        <v>1816</v>
      </c>
      <c r="E229">
        <v>2</v>
      </c>
      <c r="F229">
        <v>30</v>
      </c>
      <c r="G229">
        <v>60</v>
      </c>
      <c r="H229" s="9">
        <v>0</v>
      </c>
      <c r="I229">
        <v>7.9</v>
      </c>
      <c r="J229" s="10">
        <f t="shared" si="6"/>
        <v>4</v>
      </c>
      <c r="K229" s="11">
        <f t="shared" si="7"/>
        <v>0.13166666666666668</v>
      </c>
      <c r="L229" t="str">
        <f>VLOOKUP(C229,Customers!$A$2:$F$1001,2,FALSE())</f>
        <v>Sandra Thompson</v>
      </c>
      <c r="M229" t="str">
        <f>VLOOKUP(C229,Customers!$A$2:$F$1001,3,FALSE())</f>
        <v>South</v>
      </c>
      <c r="N229" t="str">
        <f>VLOOKUP(C229,Customers!$A$2:$F$1001,4,FALSE())</f>
        <v>Consumer</v>
      </c>
    </row>
    <row r="230" spans="1:14" x14ac:dyDescent="0.25">
      <c r="A230">
        <v>229</v>
      </c>
      <c r="B230" t="s">
        <v>1842</v>
      </c>
      <c r="C230" t="s">
        <v>467</v>
      </c>
      <c r="D230" t="s">
        <v>1812</v>
      </c>
      <c r="E230">
        <v>3</v>
      </c>
      <c r="F230">
        <v>30</v>
      </c>
      <c r="G230">
        <v>90</v>
      </c>
      <c r="H230" s="9">
        <v>0.1</v>
      </c>
      <c r="I230">
        <v>24.43</v>
      </c>
      <c r="J230" s="10">
        <f t="shared" si="6"/>
        <v>10</v>
      </c>
      <c r="K230" s="11">
        <f t="shared" si="7"/>
        <v>0.27144444444444443</v>
      </c>
      <c r="L230" t="str">
        <f>VLOOKUP(C230,Customers!$A$2:$F$1001,2,FALSE())</f>
        <v>Linda Sanchez</v>
      </c>
      <c r="M230" t="str">
        <f>VLOOKUP(C230,Customers!$A$2:$F$1001,3,FALSE())</f>
        <v>West</v>
      </c>
      <c r="N230" t="str">
        <f>VLOOKUP(C230,Customers!$A$2:$F$1001,4,FALSE())</f>
        <v>Consumer</v>
      </c>
    </row>
    <row r="231" spans="1:14" x14ac:dyDescent="0.25">
      <c r="A231">
        <v>230</v>
      </c>
      <c r="B231" t="s">
        <v>1840</v>
      </c>
      <c r="C231" t="s">
        <v>469</v>
      </c>
      <c r="D231" t="s">
        <v>1812</v>
      </c>
      <c r="E231">
        <v>1</v>
      </c>
      <c r="F231">
        <v>25</v>
      </c>
      <c r="G231">
        <v>25</v>
      </c>
      <c r="H231" s="9">
        <v>0.05</v>
      </c>
      <c r="I231">
        <v>7.4</v>
      </c>
      <c r="J231" s="10">
        <f t="shared" si="6"/>
        <v>4</v>
      </c>
      <c r="K231" s="11">
        <f t="shared" si="7"/>
        <v>0.29600000000000004</v>
      </c>
      <c r="L231" t="str">
        <f>VLOOKUP(C231,Customers!$A$2:$F$1001,2,FALSE())</f>
        <v>Kevin Jones</v>
      </c>
      <c r="M231" t="str">
        <f>VLOOKUP(C231,Customers!$A$2:$F$1001,3,FALSE())</f>
        <v>North</v>
      </c>
      <c r="N231" t="str">
        <f>VLOOKUP(C231,Customers!$A$2:$F$1001,4,FALSE())</f>
        <v>Corporate</v>
      </c>
    </row>
    <row r="232" spans="1:14" x14ac:dyDescent="0.25">
      <c r="A232">
        <v>231</v>
      </c>
      <c r="B232" t="s">
        <v>1844</v>
      </c>
      <c r="C232" t="s">
        <v>471</v>
      </c>
      <c r="D232" t="s">
        <v>1814</v>
      </c>
      <c r="E232">
        <v>3</v>
      </c>
      <c r="F232">
        <v>50</v>
      </c>
      <c r="G232">
        <v>150</v>
      </c>
      <c r="H232" s="9">
        <v>0.05</v>
      </c>
      <c r="I232">
        <v>23.96</v>
      </c>
      <c r="J232" s="10">
        <f t="shared" si="6"/>
        <v>1</v>
      </c>
      <c r="K232" s="11">
        <f t="shared" si="7"/>
        <v>0.15973333333333334</v>
      </c>
      <c r="L232" t="str">
        <f>VLOOKUP(C232,Customers!$A$2:$F$1001,2,FALSE())</f>
        <v>Andrew Garcia</v>
      </c>
      <c r="M232" t="str">
        <f>VLOOKUP(C232,Customers!$A$2:$F$1001,3,FALSE())</f>
        <v>North</v>
      </c>
      <c r="N232" t="str">
        <f>VLOOKUP(C232,Customers!$A$2:$F$1001,4,FALSE())</f>
        <v>Consumer</v>
      </c>
    </row>
    <row r="233" spans="1:14" x14ac:dyDescent="0.25">
      <c r="A233">
        <v>232</v>
      </c>
      <c r="B233" t="s">
        <v>1888</v>
      </c>
      <c r="C233" t="s">
        <v>473</v>
      </c>
      <c r="D233" t="s">
        <v>1812</v>
      </c>
      <c r="E233">
        <v>1</v>
      </c>
      <c r="F233">
        <v>25</v>
      </c>
      <c r="G233">
        <v>25</v>
      </c>
      <c r="H233" s="9">
        <v>0</v>
      </c>
      <c r="I233">
        <v>8.98</v>
      </c>
      <c r="J233" s="10">
        <f t="shared" si="6"/>
        <v>2</v>
      </c>
      <c r="K233" s="11">
        <f t="shared" si="7"/>
        <v>0.35920000000000002</v>
      </c>
      <c r="L233" t="str">
        <f>VLOOKUP(C233,Customers!$A$2:$F$1001,2,FALSE())</f>
        <v>Donna Taylor</v>
      </c>
      <c r="M233" t="str">
        <f>VLOOKUP(C233,Customers!$A$2:$F$1001,3,FALSE())</f>
        <v>East</v>
      </c>
      <c r="N233" t="str">
        <f>VLOOKUP(C233,Customers!$A$2:$F$1001,4,FALSE())</f>
        <v>Corporate</v>
      </c>
    </row>
    <row r="234" spans="1:14" x14ac:dyDescent="0.25">
      <c r="A234">
        <v>233</v>
      </c>
      <c r="B234" t="s">
        <v>1981</v>
      </c>
      <c r="C234" t="s">
        <v>474</v>
      </c>
      <c r="D234" t="s">
        <v>1812</v>
      </c>
      <c r="E234">
        <v>2</v>
      </c>
      <c r="F234">
        <v>300</v>
      </c>
      <c r="G234">
        <v>600</v>
      </c>
      <c r="H234" s="9">
        <v>0.05</v>
      </c>
      <c r="I234">
        <v>171.37</v>
      </c>
      <c r="J234" s="10">
        <f t="shared" si="6"/>
        <v>12</v>
      </c>
      <c r="K234" s="11">
        <f t="shared" si="7"/>
        <v>0.28561666666666669</v>
      </c>
      <c r="L234" t="str">
        <f>VLOOKUP(C234,Customers!$A$2:$F$1001,2,FALSE())</f>
        <v>James Hill</v>
      </c>
      <c r="M234" t="str">
        <f>VLOOKUP(C234,Customers!$A$2:$F$1001,3,FALSE())</f>
        <v>North</v>
      </c>
      <c r="N234" t="str">
        <f>VLOOKUP(C234,Customers!$A$2:$F$1001,4,FALSE())</f>
        <v>Consumer</v>
      </c>
    </row>
    <row r="235" spans="1:14" x14ac:dyDescent="0.25">
      <c r="A235">
        <v>234</v>
      </c>
      <c r="B235" t="s">
        <v>1982</v>
      </c>
      <c r="C235" t="s">
        <v>476</v>
      </c>
      <c r="D235" t="s">
        <v>1816</v>
      </c>
      <c r="E235">
        <v>2</v>
      </c>
      <c r="F235">
        <v>25</v>
      </c>
      <c r="G235">
        <v>50</v>
      </c>
      <c r="H235" s="9">
        <v>0</v>
      </c>
      <c r="I235">
        <v>12.68</v>
      </c>
      <c r="J235" s="10">
        <f t="shared" si="6"/>
        <v>11</v>
      </c>
      <c r="K235" s="11">
        <f t="shared" si="7"/>
        <v>0.25359999999999999</v>
      </c>
      <c r="L235" t="str">
        <f>VLOOKUP(C235,Customers!$A$2:$F$1001,2,FALSE())</f>
        <v>David White</v>
      </c>
      <c r="M235" t="str">
        <f>VLOOKUP(C235,Customers!$A$2:$F$1001,3,FALSE())</f>
        <v>East</v>
      </c>
      <c r="N235" t="str">
        <f>VLOOKUP(C235,Customers!$A$2:$F$1001,4,FALSE())</f>
        <v>Home Office</v>
      </c>
    </row>
    <row r="236" spans="1:14" x14ac:dyDescent="0.25">
      <c r="A236">
        <v>235</v>
      </c>
      <c r="B236" t="s">
        <v>1983</v>
      </c>
      <c r="C236" t="s">
        <v>477</v>
      </c>
      <c r="D236" t="s">
        <v>1816</v>
      </c>
      <c r="E236">
        <v>2</v>
      </c>
      <c r="F236">
        <v>500</v>
      </c>
      <c r="G236">
        <v>1000</v>
      </c>
      <c r="H236" s="9">
        <v>0</v>
      </c>
      <c r="I236">
        <v>158.55000000000001</v>
      </c>
      <c r="J236" s="10">
        <f t="shared" si="6"/>
        <v>1</v>
      </c>
      <c r="K236" s="11">
        <f t="shared" si="7"/>
        <v>0.15855000000000002</v>
      </c>
      <c r="L236" t="str">
        <f>VLOOKUP(C236,Customers!$A$2:$F$1001,2,FALSE())</f>
        <v>Elizabeth Nguyen</v>
      </c>
      <c r="M236" t="str">
        <f>VLOOKUP(C236,Customers!$A$2:$F$1001,3,FALSE())</f>
        <v>North</v>
      </c>
      <c r="N236" t="str">
        <f>VLOOKUP(C236,Customers!$A$2:$F$1001,4,FALSE())</f>
        <v>Corporate</v>
      </c>
    </row>
    <row r="237" spans="1:14" x14ac:dyDescent="0.25">
      <c r="A237">
        <v>236</v>
      </c>
      <c r="B237" t="s">
        <v>1899</v>
      </c>
      <c r="C237" t="s">
        <v>478</v>
      </c>
      <c r="D237" t="s">
        <v>1814</v>
      </c>
      <c r="E237">
        <v>1</v>
      </c>
      <c r="F237">
        <v>25</v>
      </c>
      <c r="G237">
        <v>25</v>
      </c>
      <c r="H237" s="9">
        <v>0</v>
      </c>
      <c r="I237">
        <v>5.96</v>
      </c>
      <c r="J237" s="10">
        <f t="shared" si="6"/>
        <v>4</v>
      </c>
      <c r="K237" s="11">
        <f t="shared" si="7"/>
        <v>0.2384</v>
      </c>
      <c r="L237" t="str">
        <f>VLOOKUP(C237,Customers!$A$2:$F$1001,2,FALSE())</f>
        <v>Andrew Allen</v>
      </c>
      <c r="M237" t="str">
        <f>VLOOKUP(C237,Customers!$A$2:$F$1001,3,FALSE())</f>
        <v>North</v>
      </c>
      <c r="N237" t="str">
        <f>VLOOKUP(C237,Customers!$A$2:$F$1001,4,FALSE())</f>
        <v>Home Office</v>
      </c>
    </row>
    <row r="238" spans="1:14" x14ac:dyDescent="0.25">
      <c r="A238">
        <v>237</v>
      </c>
      <c r="B238" t="s">
        <v>1984</v>
      </c>
      <c r="C238" t="s">
        <v>480</v>
      </c>
      <c r="D238" t="s">
        <v>1812</v>
      </c>
      <c r="E238">
        <v>2</v>
      </c>
      <c r="F238">
        <v>500</v>
      </c>
      <c r="G238">
        <v>1000</v>
      </c>
      <c r="H238" s="9">
        <v>0.2</v>
      </c>
      <c r="I238">
        <v>152.6</v>
      </c>
      <c r="J238" s="10">
        <f t="shared" si="6"/>
        <v>2</v>
      </c>
      <c r="K238" s="11">
        <f t="shared" si="7"/>
        <v>0.15259999999999999</v>
      </c>
      <c r="L238" t="str">
        <f>VLOOKUP(C238,Customers!$A$2:$F$1001,2,FALSE())</f>
        <v>Nancy Jackson</v>
      </c>
      <c r="M238" t="str">
        <f>VLOOKUP(C238,Customers!$A$2:$F$1001,3,FALSE())</f>
        <v>North</v>
      </c>
      <c r="N238" t="str">
        <f>VLOOKUP(C238,Customers!$A$2:$F$1001,4,FALSE())</f>
        <v>Consumer</v>
      </c>
    </row>
    <row r="239" spans="1:14" x14ac:dyDescent="0.25">
      <c r="A239">
        <v>238</v>
      </c>
      <c r="B239" t="s">
        <v>1827</v>
      </c>
      <c r="C239" t="s">
        <v>482</v>
      </c>
      <c r="D239" t="s">
        <v>1812</v>
      </c>
      <c r="E239">
        <v>1</v>
      </c>
      <c r="F239">
        <v>500</v>
      </c>
      <c r="G239">
        <v>500</v>
      </c>
      <c r="H239" s="9">
        <v>0</v>
      </c>
      <c r="I239">
        <v>147.38</v>
      </c>
      <c r="J239" s="10">
        <f t="shared" si="6"/>
        <v>1</v>
      </c>
      <c r="K239" s="11">
        <f t="shared" si="7"/>
        <v>0.29475999999999997</v>
      </c>
      <c r="L239" t="str">
        <f>VLOOKUP(C239,Customers!$A$2:$F$1001,2,FALSE())</f>
        <v>Ashley Young</v>
      </c>
      <c r="M239" t="str">
        <f>VLOOKUP(C239,Customers!$A$2:$F$1001,3,FALSE())</f>
        <v>South</v>
      </c>
      <c r="N239" t="str">
        <f>VLOOKUP(C239,Customers!$A$2:$F$1001,4,FALSE())</f>
        <v>Consumer</v>
      </c>
    </row>
    <row r="240" spans="1:14" x14ac:dyDescent="0.25">
      <c r="A240">
        <v>239</v>
      </c>
      <c r="B240" t="s">
        <v>1985</v>
      </c>
      <c r="C240" t="s">
        <v>484</v>
      </c>
      <c r="D240" t="s">
        <v>1816</v>
      </c>
      <c r="E240">
        <v>3</v>
      </c>
      <c r="F240">
        <v>500</v>
      </c>
      <c r="G240">
        <v>1500</v>
      </c>
      <c r="H240" s="9">
        <v>0.05</v>
      </c>
      <c r="I240">
        <v>139.24</v>
      </c>
      <c r="J240" s="10">
        <f t="shared" si="6"/>
        <v>6</v>
      </c>
      <c r="K240" s="11">
        <f t="shared" si="7"/>
        <v>9.2826666666666668E-2</v>
      </c>
      <c r="L240" t="str">
        <f>VLOOKUP(C240,Customers!$A$2:$F$1001,2,FALSE())</f>
        <v>Kevin Smith</v>
      </c>
      <c r="M240" t="str">
        <f>VLOOKUP(C240,Customers!$A$2:$F$1001,3,FALSE())</f>
        <v>North</v>
      </c>
      <c r="N240" t="str">
        <f>VLOOKUP(C240,Customers!$A$2:$F$1001,4,FALSE())</f>
        <v>Consumer</v>
      </c>
    </row>
    <row r="241" spans="1:14" x14ac:dyDescent="0.25">
      <c r="A241">
        <v>240</v>
      </c>
      <c r="B241" t="s">
        <v>1888</v>
      </c>
      <c r="C241" t="s">
        <v>486</v>
      </c>
      <c r="D241" t="s">
        <v>1812</v>
      </c>
      <c r="E241">
        <v>1</v>
      </c>
      <c r="F241">
        <v>300</v>
      </c>
      <c r="G241">
        <v>300</v>
      </c>
      <c r="H241" s="9">
        <v>0.05</v>
      </c>
      <c r="I241">
        <v>104.95</v>
      </c>
      <c r="J241" s="10">
        <f t="shared" si="6"/>
        <v>2</v>
      </c>
      <c r="K241" s="11">
        <f t="shared" si="7"/>
        <v>0.34983333333333333</v>
      </c>
      <c r="L241" t="str">
        <f>VLOOKUP(C241,Customers!$A$2:$F$1001,2,FALSE())</f>
        <v>Kimberly Jones</v>
      </c>
      <c r="M241" t="str">
        <f>VLOOKUP(C241,Customers!$A$2:$F$1001,3,FALSE())</f>
        <v>North</v>
      </c>
      <c r="N241" t="str">
        <f>VLOOKUP(C241,Customers!$A$2:$F$1001,4,FALSE())</f>
        <v>Corporate</v>
      </c>
    </row>
    <row r="242" spans="1:14" x14ac:dyDescent="0.25">
      <c r="A242">
        <v>241</v>
      </c>
      <c r="B242" t="s">
        <v>1986</v>
      </c>
      <c r="C242" t="s">
        <v>487</v>
      </c>
      <c r="D242" t="s">
        <v>1816</v>
      </c>
      <c r="E242">
        <v>3</v>
      </c>
      <c r="F242">
        <v>25</v>
      </c>
      <c r="G242">
        <v>75</v>
      </c>
      <c r="H242" s="9">
        <v>0.2</v>
      </c>
      <c r="I242">
        <v>-3.75</v>
      </c>
      <c r="J242" s="10">
        <f t="shared" si="6"/>
        <v>9</v>
      </c>
      <c r="K242" s="11">
        <f t="shared" si="7"/>
        <v>-0.05</v>
      </c>
      <c r="L242" t="str">
        <f>VLOOKUP(C242,Customers!$A$2:$F$1001,2,FALSE())</f>
        <v>Joseph King</v>
      </c>
      <c r="M242" t="str">
        <f>VLOOKUP(C242,Customers!$A$2:$F$1001,3,FALSE())</f>
        <v>West</v>
      </c>
      <c r="N242" t="str">
        <f>VLOOKUP(C242,Customers!$A$2:$F$1001,4,FALSE())</f>
        <v>Consumer</v>
      </c>
    </row>
    <row r="243" spans="1:14" x14ac:dyDescent="0.25">
      <c r="A243">
        <v>242</v>
      </c>
      <c r="B243" t="s">
        <v>1987</v>
      </c>
      <c r="C243" t="s">
        <v>489</v>
      </c>
      <c r="D243" t="s">
        <v>1814</v>
      </c>
      <c r="E243">
        <v>1</v>
      </c>
      <c r="F243">
        <v>25</v>
      </c>
      <c r="G243">
        <v>25</v>
      </c>
      <c r="H243" s="9">
        <v>0.1</v>
      </c>
      <c r="I243">
        <v>1.95</v>
      </c>
      <c r="J243" s="10">
        <f t="shared" si="6"/>
        <v>5</v>
      </c>
      <c r="K243" s="11">
        <f t="shared" si="7"/>
        <v>7.8E-2</v>
      </c>
      <c r="L243" t="str">
        <f>VLOOKUP(C243,Customers!$A$2:$F$1001,2,FALSE())</f>
        <v>Richard Young</v>
      </c>
      <c r="M243" t="str">
        <f>VLOOKUP(C243,Customers!$A$2:$F$1001,3,FALSE())</f>
        <v>South</v>
      </c>
      <c r="N243" t="str">
        <f>VLOOKUP(C243,Customers!$A$2:$F$1001,4,FALSE())</f>
        <v>Consumer</v>
      </c>
    </row>
    <row r="244" spans="1:14" x14ac:dyDescent="0.25">
      <c r="A244">
        <v>243</v>
      </c>
      <c r="B244" t="s">
        <v>1843</v>
      </c>
      <c r="C244" t="s">
        <v>491</v>
      </c>
      <c r="D244" t="s">
        <v>1816</v>
      </c>
      <c r="E244">
        <v>3</v>
      </c>
      <c r="F244">
        <v>300</v>
      </c>
      <c r="G244">
        <v>900</v>
      </c>
      <c r="H244" s="9">
        <v>0.2</v>
      </c>
      <c r="I244">
        <v>-45</v>
      </c>
      <c r="J244" s="10">
        <f t="shared" si="6"/>
        <v>5</v>
      </c>
      <c r="K244" s="11">
        <f t="shared" si="7"/>
        <v>-0.05</v>
      </c>
      <c r="L244" t="str">
        <f>VLOOKUP(C244,Customers!$A$2:$F$1001,2,FALSE())</f>
        <v>Lisa Martinez</v>
      </c>
      <c r="M244" t="str">
        <f>VLOOKUP(C244,Customers!$A$2:$F$1001,3,FALSE())</f>
        <v>South</v>
      </c>
      <c r="N244" t="str">
        <f>VLOOKUP(C244,Customers!$A$2:$F$1001,4,FALSE())</f>
        <v>Consumer</v>
      </c>
    </row>
    <row r="245" spans="1:14" x14ac:dyDescent="0.25">
      <c r="A245">
        <v>244</v>
      </c>
      <c r="B245" t="s">
        <v>1988</v>
      </c>
      <c r="C245" t="s">
        <v>493</v>
      </c>
      <c r="D245" t="s">
        <v>1812</v>
      </c>
      <c r="E245">
        <v>2</v>
      </c>
      <c r="F245">
        <v>50</v>
      </c>
      <c r="G245">
        <v>100</v>
      </c>
      <c r="H245" s="9">
        <v>0</v>
      </c>
      <c r="I245">
        <v>39.36</v>
      </c>
      <c r="J245" s="10">
        <f t="shared" si="6"/>
        <v>12</v>
      </c>
      <c r="K245" s="11">
        <f t="shared" si="7"/>
        <v>0.39360000000000001</v>
      </c>
      <c r="L245" t="str">
        <f>VLOOKUP(C245,Customers!$A$2:$F$1001,2,FALSE())</f>
        <v>Thomas Perez</v>
      </c>
      <c r="M245" t="str">
        <f>VLOOKUP(C245,Customers!$A$2:$F$1001,3,FALSE())</f>
        <v>North</v>
      </c>
      <c r="N245" t="str">
        <f>VLOOKUP(C245,Customers!$A$2:$F$1001,4,FALSE())</f>
        <v>Consumer</v>
      </c>
    </row>
    <row r="246" spans="1:14" x14ac:dyDescent="0.25">
      <c r="A246">
        <v>245</v>
      </c>
      <c r="B246" t="s">
        <v>1961</v>
      </c>
      <c r="C246" t="s">
        <v>495</v>
      </c>
      <c r="D246" t="s">
        <v>1814</v>
      </c>
      <c r="E246">
        <v>3</v>
      </c>
      <c r="F246">
        <v>30</v>
      </c>
      <c r="G246">
        <v>90</v>
      </c>
      <c r="H246" s="9">
        <v>0</v>
      </c>
      <c r="I246">
        <v>23.52</v>
      </c>
      <c r="J246" s="10">
        <f t="shared" si="6"/>
        <v>9</v>
      </c>
      <c r="K246" s="11">
        <f t="shared" si="7"/>
        <v>0.26133333333333331</v>
      </c>
      <c r="L246" t="str">
        <f>VLOOKUP(C246,Customers!$A$2:$F$1001,2,FALSE())</f>
        <v>Joshua Harris</v>
      </c>
      <c r="M246" t="str">
        <f>VLOOKUP(C246,Customers!$A$2:$F$1001,3,FALSE())</f>
        <v>South</v>
      </c>
      <c r="N246" t="str">
        <f>VLOOKUP(C246,Customers!$A$2:$F$1001,4,FALSE())</f>
        <v>Consumer</v>
      </c>
    </row>
    <row r="247" spans="1:14" x14ac:dyDescent="0.25">
      <c r="A247">
        <v>246</v>
      </c>
      <c r="B247" t="s">
        <v>1989</v>
      </c>
      <c r="C247" t="s">
        <v>497</v>
      </c>
      <c r="D247" t="s">
        <v>1816</v>
      </c>
      <c r="E247">
        <v>2</v>
      </c>
      <c r="F247">
        <v>25</v>
      </c>
      <c r="G247">
        <v>50</v>
      </c>
      <c r="H247" s="9">
        <v>0.1</v>
      </c>
      <c r="I247">
        <v>0.24</v>
      </c>
      <c r="J247" s="10">
        <f t="shared" si="6"/>
        <v>4</v>
      </c>
      <c r="K247" s="11">
        <f t="shared" si="7"/>
        <v>4.7999999999999996E-3</v>
      </c>
      <c r="L247" t="str">
        <f>VLOOKUP(C247,Customers!$A$2:$F$1001,2,FALSE())</f>
        <v>George Wright</v>
      </c>
      <c r="M247" t="str">
        <f>VLOOKUP(C247,Customers!$A$2:$F$1001,3,FALSE())</f>
        <v>North</v>
      </c>
      <c r="N247" t="str">
        <f>VLOOKUP(C247,Customers!$A$2:$F$1001,4,FALSE())</f>
        <v>Consumer</v>
      </c>
    </row>
    <row r="248" spans="1:14" x14ac:dyDescent="0.25">
      <c r="A248">
        <v>247</v>
      </c>
      <c r="B248" t="s">
        <v>1949</v>
      </c>
      <c r="C248" t="s">
        <v>499</v>
      </c>
      <c r="D248" t="s">
        <v>1816</v>
      </c>
      <c r="E248">
        <v>2</v>
      </c>
      <c r="F248">
        <v>30</v>
      </c>
      <c r="G248">
        <v>60</v>
      </c>
      <c r="H248" s="9">
        <v>0.05</v>
      </c>
      <c r="I248">
        <v>4.17</v>
      </c>
      <c r="J248" s="10">
        <f t="shared" si="6"/>
        <v>10</v>
      </c>
      <c r="K248" s="11">
        <f t="shared" si="7"/>
        <v>6.9499999999999992E-2</v>
      </c>
      <c r="L248" t="str">
        <f>VLOOKUP(C248,Customers!$A$2:$F$1001,2,FALSE())</f>
        <v>Donna Harris</v>
      </c>
      <c r="M248" t="str">
        <f>VLOOKUP(C248,Customers!$A$2:$F$1001,3,FALSE())</f>
        <v>East</v>
      </c>
      <c r="N248" t="str">
        <f>VLOOKUP(C248,Customers!$A$2:$F$1001,4,FALSE())</f>
        <v>Consumer</v>
      </c>
    </row>
    <row r="249" spans="1:14" x14ac:dyDescent="0.25">
      <c r="A249">
        <v>248</v>
      </c>
      <c r="B249" t="s">
        <v>1990</v>
      </c>
      <c r="C249" t="s">
        <v>501</v>
      </c>
      <c r="D249" t="s">
        <v>1814</v>
      </c>
      <c r="E249">
        <v>3</v>
      </c>
      <c r="F249">
        <v>300</v>
      </c>
      <c r="G249">
        <v>900</v>
      </c>
      <c r="H249" s="9">
        <v>0.15</v>
      </c>
      <c r="I249">
        <v>47.89</v>
      </c>
      <c r="J249" s="10">
        <f t="shared" si="6"/>
        <v>3</v>
      </c>
      <c r="K249" s="11">
        <f t="shared" si="7"/>
        <v>5.3211111111111112E-2</v>
      </c>
      <c r="L249" t="str">
        <f>VLOOKUP(C249,Customers!$A$2:$F$1001,2,FALSE())</f>
        <v>Joseph Taylor</v>
      </c>
      <c r="M249" t="str">
        <f>VLOOKUP(C249,Customers!$A$2:$F$1001,3,FALSE())</f>
        <v>North</v>
      </c>
      <c r="N249" t="str">
        <f>VLOOKUP(C249,Customers!$A$2:$F$1001,4,FALSE())</f>
        <v>Corporate</v>
      </c>
    </row>
    <row r="250" spans="1:14" x14ac:dyDescent="0.25">
      <c r="A250">
        <v>249</v>
      </c>
      <c r="B250" t="s">
        <v>1991</v>
      </c>
      <c r="C250" t="s">
        <v>503</v>
      </c>
      <c r="D250" t="s">
        <v>1814</v>
      </c>
      <c r="E250">
        <v>1</v>
      </c>
      <c r="F250">
        <v>50</v>
      </c>
      <c r="G250">
        <v>50</v>
      </c>
      <c r="H250" s="9">
        <v>0.15</v>
      </c>
      <c r="I250">
        <v>4.04</v>
      </c>
      <c r="J250" s="10">
        <f t="shared" si="6"/>
        <v>10</v>
      </c>
      <c r="K250" s="11">
        <f t="shared" si="7"/>
        <v>8.0799999999999997E-2</v>
      </c>
      <c r="L250" t="str">
        <f>VLOOKUP(C250,Customers!$A$2:$F$1001,2,FALSE())</f>
        <v>Jennifer Anderson</v>
      </c>
      <c r="M250" t="str">
        <f>VLOOKUP(C250,Customers!$A$2:$F$1001,3,FALSE())</f>
        <v>West</v>
      </c>
      <c r="N250" t="str">
        <f>VLOOKUP(C250,Customers!$A$2:$F$1001,4,FALSE())</f>
        <v>Consumer</v>
      </c>
    </row>
    <row r="251" spans="1:14" x14ac:dyDescent="0.25">
      <c r="A251">
        <v>250</v>
      </c>
      <c r="B251" t="s">
        <v>1868</v>
      </c>
      <c r="C251" t="s">
        <v>505</v>
      </c>
      <c r="D251" t="s">
        <v>1816</v>
      </c>
      <c r="E251">
        <v>1</v>
      </c>
      <c r="F251">
        <v>50</v>
      </c>
      <c r="G251">
        <v>50</v>
      </c>
      <c r="H251" s="9">
        <v>0.05</v>
      </c>
      <c r="I251">
        <v>6.51</v>
      </c>
      <c r="J251" s="10">
        <f t="shared" si="6"/>
        <v>10</v>
      </c>
      <c r="K251" s="11">
        <f t="shared" si="7"/>
        <v>0.13019999999999998</v>
      </c>
      <c r="L251" t="str">
        <f>VLOOKUP(C251,Customers!$A$2:$F$1001,2,FALSE())</f>
        <v>George Moore</v>
      </c>
      <c r="M251" t="str">
        <f>VLOOKUP(C251,Customers!$A$2:$F$1001,3,FALSE())</f>
        <v>West</v>
      </c>
      <c r="N251" t="str">
        <f>VLOOKUP(C251,Customers!$A$2:$F$1001,4,FALSE())</f>
        <v>Consumer</v>
      </c>
    </row>
    <row r="252" spans="1:14" x14ac:dyDescent="0.25">
      <c r="A252">
        <v>251</v>
      </c>
      <c r="B252" t="s">
        <v>1992</v>
      </c>
      <c r="C252" t="s">
        <v>507</v>
      </c>
      <c r="D252" t="s">
        <v>1812</v>
      </c>
      <c r="E252">
        <v>4</v>
      </c>
      <c r="F252">
        <v>50</v>
      </c>
      <c r="G252">
        <v>200</v>
      </c>
      <c r="H252" s="9">
        <v>0.25</v>
      </c>
      <c r="I252">
        <v>16.309999999999999</v>
      </c>
      <c r="J252" s="10">
        <f t="shared" si="6"/>
        <v>8</v>
      </c>
      <c r="K252" s="11">
        <f t="shared" si="7"/>
        <v>8.1549999999999997E-2</v>
      </c>
      <c r="L252" t="str">
        <f>VLOOKUP(C252,Customers!$A$2:$F$1001,2,FALSE())</f>
        <v>Jennifer Clark</v>
      </c>
      <c r="M252" t="str">
        <f>VLOOKUP(C252,Customers!$A$2:$F$1001,3,FALSE())</f>
        <v>North</v>
      </c>
      <c r="N252" t="str">
        <f>VLOOKUP(C252,Customers!$A$2:$F$1001,4,FALSE())</f>
        <v>Corporate</v>
      </c>
    </row>
    <row r="253" spans="1:14" x14ac:dyDescent="0.25">
      <c r="A253">
        <v>252</v>
      </c>
      <c r="B253" t="s">
        <v>1993</v>
      </c>
      <c r="C253" t="s">
        <v>509</v>
      </c>
      <c r="D253" t="s">
        <v>1816</v>
      </c>
      <c r="E253">
        <v>1</v>
      </c>
      <c r="F253">
        <v>300</v>
      </c>
      <c r="G253">
        <v>300</v>
      </c>
      <c r="H253" s="9">
        <v>0.1</v>
      </c>
      <c r="I253">
        <v>13.1</v>
      </c>
      <c r="J253" s="10">
        <f t="shared" si="6"/>
        <v>5</v>
      </c>
      <c r="K253" s="11">
        <f t="shared" si="7"/>
        <v>4.3666666666666666E-2</v>
      </c>
      <c r="L253" t="str">
        <f>VLOOKUP(C253,Customers!$A$2:$F$1001,2,FALSE())</f>
        <v>Edward Wright</v>
      </c>
      <c r="M253" t="str">
        <f>VLOOKUP(C253,Customers!$A$2:$F$1001,3,FALSE())</f>
        <v>North</v>
      </c>
      <c r="N253" t="str">
        <f>VLOOKUP(C253,Customers!$A$2:$F$1001,4,FALSE())</f>
        <v>Corporate</v>
      </c>
    </row>
    <row r="254" spans="1:14" x14ac:dyDescent="0.25">
      <c r="A254">
        <v>253</v>
      </c>
      <c r="B254" t="s">
        <v>1992</v>
      </c>
      <c r="C254" t="s">
        <v>511</v>
      </c>
      <c r="D254" t="s">
        <v>1814</v>
      </c>
      <c r="E254">
        <v>4</v>
      </c>
      <c r="F254">
        <v>500</v>
      </c>
      <c r="G254">
        <v>2000</v>
      </c>
      <c r="H254" s="9">
        <v>0</v>
      </c>
      <c r="I254">
        <v>420.1</v>
      </c>
      <c r="J254" s="10">
        <f t="shared" si="6"/>
        <v>8</v>
      </c>
      <c r="K254" s="11">
        <f t="shared" si="7"/>
        <v>0.21005000000000001</v>
      </c>
      <c r="L254" t="str">
        <f>VLOOKUP(C254,Customers!$A$2:$F$1001,2,FALSE())</f>
        <v>Susan Jackson</v>
      </c>
      <c r="M254" t="str">
        <f>VLOOKUP(C254,Customers!$A$2:$F$1001,3,FALSE())</f>
        <v>North</v>
      </c>
      <c r="N254" t="str">
        <f>VLOOKUP(C254,Customers!$A$2:$F$1001,4,FALSE())</f>
        <v>Consumer</v>
      </c>
    </row>
    <row r="255" spans="1:14" x14ac:dyDescent="0.25">
      <c r="A255">
        <v>254</v>
      </c>
      <c r="B255" t="s">
        <v>1994</v>
      </c>
      <c r="C255" t="s">
        <v>513</v>
      </c>
      <c r="D255" t="s">
        <v>1816</v>
      </c>
      <c r="E255">
        <v>1</v>
      </c>
      <c r="F255">
        <v>500</v>
      </c>
      <c r="G255">
        <v>500</v>
      </c>
      <c r="H255" s="9">
        <v>0.05</v>
      </c>
      <c r="I255">
        <v>25.08</v>
      </c>
      <c r="J255" s="10">
        <f t="shared" si="6"/>
        <v>7</v>
      </c>
      <c r="K255" s="11">
        <f t="shared" si="7"/>
        <v>5.0159999999999996E-2</v>
      </c>
      <c r="L255" t="str">
        <f>VLOOKUP(C255,Customers!$A$2:$F$1001,2,FALSE())</f>
        <v>Anthony Martinez</v>
      </c>
      <c r="M255" t="str">
        <f>VLOOKUP(C255,Customers!$A$2:$F$1001,3,FALSE())</f>
        <v>East</v>
      </c>
      <c r="N255" t="str">
        <f>VLOOKUP(C255,Customers!$A$2:$F$1001,4,FALSE())</f>
        <v>Corporate</v>
      </c>
    </row>
    <row r="256" spans="1:14" x14ac:dyDescent="0.25">
      <c r="A256">
        <v>255</v>
      </c>
      <c r="B256" t="s">
        <v>1995</v>
      </c>
      <c r="C256" t="s">
        <v>515</v>
      </c>
      <c r="D256" t="s">
        <v>1814</v>
      </c>
      <c r="E256">
        <v>1</v>
      </c>
      <c r="F256">
        <v>30</v>
      </c>
      <c r="G256">
        <v>30</v>
      </c>
      <c r="H256" s="9">
        <v>0</v>
      </c>
      <c r="I256">
        <v>7.98</v>
      </c>
      <c r="J256" s="10">
        <f t="shared" si="6"/>
        <v>4</v>
      </c>
      <c r="K256" s="11">
        <f t="shared" si="7"/>
        <v>0.26600000000000001</v>
      </c>
      <c r="L256" t="str">
        <f>VLOOKUP(C256,Customers!$A$2:$F$1001,2,FALSE())</f>
        <v>Susan Martinez</v>
      </c>
      <c r="M256" t="str">
        <f>VLOOKUP(C256,Customers!$A$2:$F$1001,3,FALSE())</f>
        <v>North</v>
      </c>
      <c r="N256" t="str">
        <f>VLOOKUP(C256,Customers!$A$2:$F$1001,4,FALSE())</f>
        <v>Home Office</v>
      </c>
    </row>
    <row r="257" spans="1:14" x14ac:dyDescent="0.25">
      <c r="A257">
        <v>256</v>
      </c>
      <c r="B257" t="s">
        <v>1996</v>
      </c>
      <c r="C257" t="s">
        <v>517</v>
      </c>
      <c r="D257" t="s">
        <v>1814</v>
      </c>
      <c r="E257">
        <v>2</v>
      </c>
      <c r="F257">
        <v>500</v>
      </c>
      <c r="G257">
        <v>1000</v>
      </c>
      <c r="H257" s="9">
        <v>0.15</v>
      </c>
      <c r="I257">
        <v>29.64</v>
      </c>
      <c r="J257" s="10">
        <f t="shared" si="6"/>
        <v>2</v>
      </c>
      <c r="K257" s="11">
        <f t="shared" si="7"/>
        <v>2.964E-2</v>
      </c>
      <c r="L257" t="str">
        <f>VLOOKUP(C257,Customers!$A$2:$F$1001,2,FALSE())</f>
        <v>Deborah Robinson</v>
      </c>
      <c r="M257" t="str">
        <f>VLOOKUP(C257,Customers!$A$2:$F$1001,3,FALSE())</f>
        <v>West</v>
      </c>
      <c r="N257" t="str">
        <f>VLOOKUP(C257,Customers!$A$2:$F$1001,4,FALSE())</f>
        <v>Corporate</v>
      </c>
    </row>
    <row r="258" spans="1:14" x14ac:dyDescent="0.25">
      <c r="A258">
        <v>257</v>
      </c>
      <c r="B258" t="s">
        <v>1852</v>
      </c>
      <c r="C258" t="s">
        <v>519</v>
      </c>
      <c r="D258" t="s">
        <v>1812</v>
      </c>
      <c r="E258">
        <v>4</v>
      </c>
      <c r="F258">
        <v>500</v>
      </c>
      <c r="G258">
        <v>2000</v>
      </c>
      <c r="H258" s="9">
        <v>0</v>
      </c>
      <c r="I258">
        <v>686.47</v>
      </c>
      <c r="J258" s="10">
        <f t="shared" ref="J258:J321" si="8">MONTH(B258)</f>
        <v>2</v>
      </c>
      <c r="K258" s="11">
        <f t="shared" ref="K258:K321" si="9">IF(G258=0,0,I258/G258)</f>
        <v>0.34323500000000001</v>
      </c>
      <c r="L258" t="str">
        <f>VLOOKUP(C258,Customers!$A$2:$F$1001,2,FALSE())</f>
        <v>Kevin Allen</v>
      </c>
      <c r="M258" t="str">
        <f>VLOOKUP(C258,Customers!$A$2:$F$1001,3,FALSE())</f>
        <v>East</v>
      </c>
      <c r="N258" t="str">
        <f>VLOOKUP(C258,Customers!$A$2:$F$1001,4,FALSE())</f>
        <v>Home Office</v>
      </c>
    </row>
    <row r="259" spans="1:14" x14ac:dyDescent="0.25">
      <c r="A259">
        <v>258</v>
      </c>
      <c r="B259" t="s">
        <v>1965</v>
      </c>
      <c r="C259" t="s">
        <v>521</v>
      </c>
      <c r="D259" t="s">
        <v>1814</v>
      </c>
      <c r="E259">
        <v>1</v>
      </c>
      <c r="F259">
        <v>50</v>
      </c>
      <c r="G259">
        <v>50</v>
      </c>
      <c r="H259" s="9">
        <v>0.05</v>
      </c>
      <c r="I259">
        <v>9.9600000000000009</v>
      </c>
      <c r="J259" s="10">
        <f t="shared" si="8"/>
        <v>12</v>
      </c>
      <c r="K259" s="11">
        <f t="shared" si="9"/>
        <v>0.19920000000000002</v>
      </c>
      <c r="L259" t="str">
        <f>VLOOKUP(C259,Customers!$A$2:$F$1001,2,FALSE())</f>
        <v>Melissa Jones</v>
      </c>
      <c r="M259" t="str">
        <f>VLOOKUP(C259,Customers!$A$2:$F$1001,3,FALSE())</f>
        <v>West</v>
      </c>
      <c r="N259" t="str">
        <f>VLOOKUP(C259,Customers!$A$2:$F$1001,4,FALSE())</f>
        <v>Corporate</v>
      </c>
    </row>
    <row r="260" spans="1:14" x14ac:dyDescent="0.25">
      <c r="A260">
        <v>259</v>
      </c>
      <c r="B260" t="s">
        <v>1997</v>
      </c>
      <c r="C260" t="s">
        <v>523</v>
      </c>
      <c r="D260" t="s">
        <v>1814</v>
      </c>
      <c r="E260">
        <v>4</v>
      </c>
      <c r="F260">
        <v>50</v>
      </c>
      <c r="G260">
        <v>200</v>
      </c>
      <c r="H260" s="9">
        <v>0.1</v>
      </c>
      <c r="I260">
        <v>19.170000000000002</v>
      </c>
      <c r="J260" s="10">
        <f t="shared" si="8"/>
        <v>8</v>
      </c>
      <c r="K260" s="11">
        <f t="shared" si="9"/>
        <v>9.5850000000000005E-2</v>
      </c>
      <c r="L260" t="str">
        <f>VLOOKUP(C260,Customers!$A$2:$F$1001,2,FALSE())</f>
        <v>Brian Williams</v>
      </c>
      <c r="M260" t="str">
        <f>VLOOKUP(C260,Customers!$A$2:$F$1001,3,FALSE())</f>
        <v>East</v>
      </c>
      <c r="N260" t="str">
        <f>VLOOKUP(C260,Customers!$A$2:$F$1001,4,FALSE())</f>
        <v>Consumer</v>
      </c>
    </row>
    <row r="261" spans="1:14" x14ac:dyDescent="0.25">
      <c r="A261">
        <v>260</v>
      </c>
      <c r="B261" t="s">
        <v>1882</v>
      </c>
      <c r="C261" t="s">
        <v>524</v>
      </c>
      <c r="D261" t="s">
        <v>1812</v>
      </c>
      <c r="E261">
        <v>2</v>
      </c>
      <c r="F261">
        <v>30</v>
      </c>
      <c r="G261">
        <v>60</v>
      </c>
      <c r="H261" s="9">
        <v>0</v>
      </c>
      <c r="I261">
        <v>19.16</v>
      </c>
      <c r="J261" s="10">
        <f t="shared" si="8"/>
        <v>7</v>
      </c>
      <c r="K261" s="11">
        <f t="shared" si="9"/>
        <v>0.31933333333333336</v>
      </c>
      <c r="L261" t="str">
        <f>VLOOKUP(C261,Customers!$A$2:$F$1001,2,FALSE())</f>
        <v>Lisa White</v>
      </c>
      <c r="M261" t="str">
        <f>VLOOKUP(C261,Customers!$A$2:$F$1001,3,FALSE())</f>
        <v>West</v>
      </c>
      <c r="N261" t="str">
        <f>VLOOKUP(C261,Customers!$A$2:$F$1001,4,FALSE())</f>
        <v>Consumer</v>
      </c>
    </row>
    <row r="262" spans="1:14" x14ac:dyDescent="0.25">
      <c r="A262">
        <v>261</v>
      </c>
      <c r="B262" t="s">
        <v>1826</v>
      </c>
      <c r="C262" t="s">
        <v>526</v>
      </c>
      <c r="D262" t="s">
        <v>1814</v>
      </c>
      <c r="E262">
        <v>2</v>
      </c>
      <c r="F262">
        <v>25</v>
      </c>
      <c r="G262">
        <v>50</v>
      </c>
      <c r="H262" s="9">
        <v>0</v>
      </c>
      <c r="I262">
        <v>12.36</v>
      </c>
      <c r="J262" s="10">
        <f t="shared" si="8"/>
        <v>8</v>
      </c>
      <c r="K262" s="11">
        <f t="shared" si="9"/>
        <v>0.24719999999999998</v>
      </c>
      <c r="L262" t="str">
        <f>VLOOKUP(C262,Customers!$A$2:$F$1001,2,FALSE())</f>
        <v>Sarah Garcia</v>
      </c>
      <c r="M262" t="str">
        <f>VLOOKUP(C262,Customers!$A$2:$F$1001,3,FALSE())</f>
        <v>North</v>
      </c>
      <c r="N262" t="str">
        <f>VLOOKUP(C262,Customers!$A$2:$F$1001,4,FALSE())</f>
        <v>Corporate</v>
      </c>
    </row>
    <row r="263" spans="1:14" x14ac:dyDescent="0.25">
      <c r="A263">
        <v>262</v>
      </c>
      <c r="B263" t="s">
        <v>1998</v>
      </c>
      <c r="C263" t="s">
        <v>528</v>
      </c>
      <c r="D263" t="s">
        <v>1812</v>
      </c>
      <c r="E263">
        <v>4</v>
      </c>
      <c r="F263">
        <v>30</v>
      </c>
      <c r="G263">
        <v>120</v>
      </c>
      <c r="H263" s="9">
        <v>0.1</v>
      </c>
      <c r="I263">
        <v>29.41</v>
      </c>
      <c r="J263" s="10">
        <f t="shared" si="8"/>
        <v>7</v>
      </c>
      <c r="K263" s="11">
        <f t="shared" si="9"/>
        <v>0.24508333333333335</v>
      </c>
      <c r="L263" t="str">
        <f>VLOOKUP(C263,Customers!$A$2:$F$1001,2,FALSE())</f>
        <v>Elizabeth Allen</v>
      </c>
      <c r="M263" t="str">
        <f>VLOOKUP(C263,Customers!$A$2:$F$1001,3,FALSE())</f>
        <v>South</v>
      </c>
      <c r="N263" t="str">
        <f>VLOOKUP(C263,Customers!$A$2:$F$1001,4,FALSE())</f>
        <v>Home Office</v>
      </c>
    </row>
    <row r="264" spans="1:14" x14ac:dyDescent="0.25">
      <c r="A264">
        <v>263</v>
      </c>
      <c r="B264" t="s">
        <v>1931</v>
      </c>
      <c r="C264" t="s">
        <v>530</v>
      </c>
      <c r="D264" t="s">
        <v>1812</v>
      </c>
      <c r="E264">
        <v>2</v>
      </c>
      <c r="F264">
        <v>30</v>
      </c>
      <c r="G264">
        <v>60</v>
      </c>
      <c r="H264" s="9">
        <v>0</v>
      </c>
      <c r="I264">
        <v>22.91</v>
      </c>
      <c r="J264" s="10">
        <f t="shared" si="8"/>
        <v>8</v>
      </c>
      <c r="K264" s="11">
        <f t="shared" si="9"/>
        <v>0.38183333333333336</v>
      </c>
      <c r="L264" t="str">
        <f>VLOOKUP(C264,Customers!$A$2:$F$1001,2,FALSE())</f>
        <v>Jessica Gonzalez</v>
      </c>
      <c r="M264" t="str">
        <f>VLOOKUP(C264,Customers!$A$2:$F$1001,3,FALSE())</f>
        <v>South</v>
      </c>
      <c r="N264" t="str">
        <f>VLOOKUP(C264,Customers!$A$2:$F$1001,4,FALSE())</f>
        <v>Consumer</v>
      </c>
    </row>
    <row r="265" spans="1:14" x14ac:dyDescent="0.25">
      <c r="A265">
        <v>264</v>
      </c>
      <c r="B265" t="s">
        <v>1999</v>
      </c>
      <c r="C265" t="s">
        <v>532</v>
      </c>
      <c r="D265" t="s">
        <v>1814</v>
      </c>
      <c r="E265">
        <v>3</v>
      </c>
      <c r="F265">
        <v>300</v>
      </c>
      <c r="G265">
        <v>900</v>
      </c>
      <c r="H265" s="9">
        <v>0.05</v>
      </c>
      <c r="I265">
        <v>187.39</v>
      </c>
      <c r="J265" s="10">
        <f t="shared" si="8"/>
        <v>1</v>
      </c>
      <c r="K265" s="11">
        <f t="shared" si="9"/>
        <v>0.2082111111111111</v>
      </c>
      <c r="L265" t="str">
        <f>VLOOKUP(C265,Customers!$A$2:$F$1001,2,FALSE())</f>
        <v>George Garcia</v>
      </c>
      <c r="M265" t="str">
        <f>VLOOKUP(C265,Customers!$A$2:$F$1001,3,FALSE())</f>
        <v>West</v>
      </c>
      <c r="N265" t="str">
        <f>VLOOKUP(C265,Customers!$A$2:$F$1001,4,FALSE())</f>
        <v>Consumer</v>
      </c>
    </row>
    <row r="266" spans="1:14" x14ac:dyDescent="0.25">
      <c r="A266">
        <v>265</v>
      </c>
      <c r="B266" t="s">
        <v>2000</v>
      </c>
      <c r="C266" t="s">
        <v>534</v>
      </c>
      <c r="D266" t="s">
        <v>1814</v>
      </c>
      <c r="E266">
        <v>3</v>
      </c>
      <c r="F266">
        <v>300</v>
      </c>
      <c r="G266">
        <v>900</v>
      </c>
      <c r="H266" s="9">
        <v>0.05</v>
      </c>
      <c r="I266">
        <v>172.99</v>
      </c>
      <c r="J266" s="10">
        <f t="shared" si="8"/>
        <v>12</v>
      </c>
      <c r="K266" s="11">
        <f t="shared" si="9"/>
        <v>0.19221111111111111</v>
      </c>
      <c r="L266" t="str">
        <f>VLOOKUP(C266,Customers!$A$2:$F$1001,2,FALSE())</f>
        <v>Amanda Torres</v>
      </c>
      <c r="M266" t="str">
        <f>VLOOKUP(C266,Customers!$A$2:$F$1001,3,FALSE())</f>
        <v>East</v>
      </c>
      <c r="N266" t="str">
        <f>VLOOKUP(C266,Customers!$A$2:$F$1001,4,FALSE())</f>
        <v>Corporate</v>
      </c>
    </row>
    <row r="267" spans="1:14" x14ac:dyDescent="0.25">
      <c r="A267">
        <v>266</v>
      </c>
      <c r="B267" t="s">
        <v>2001</v>
      </c>
      <c r="C267" t="s">
        <v>536</v>
      </c>
      <c r="D267" t="s">
        <v>1816</v>
      </c>
      <c r="E267">
        <v>2</v>
      </c>
      <c r="F267">
        <v>30</v>
      </c>
      <c r="G267">
        <v>60</v>
      </c>
      <c r="H267" s="9">
        <v>0</v>
      </c>
      <c r="I267">
        <v>7.66</v>
      </c>
      <c r="J267" s="10">
        <f t="shared" si="8"/>
        <v>12</v>
      </c>
      <c r="K267" s="11">
        <f t="shared" si="9"/>
        <v>0.12766666666666668</v>
      </c>
      <c r="L267" t="str">
        <f>VLOOKUP(C267,Customers!$A$2:$F$1001,2,FALSE())</f>
        <v>Sandra Miller</v>
      </c>
      <c r="M267" t="str">
        <f>VLOOKUP(C267,Customers!$A$2:$F$1001,3,FALSE())</f>
        <v>West</v>
      </c>
      <c r="N267" t="str">
        <f>VLOOKUP(C267,Customers!$A$2:$F$1001,4,FALSE())</f>
        <v>Consumer</v>
      </c>
    </row>
    <row r="268" spans="1:14" x14ac:dyDescent="0.25">
      <c r="A268">
        <v>267</v>
      </c>
      <c r="B268" t="s">
        <v>2002</v>
      </c>
      <c r="C268" t="s">
        <v>538</v>
      </c>
      <c r="D268" t="s">
        <v>1812</v>
      </c>
      <c r="E268">
        <v>3</v>
      </c>
      <c r="F268">
        <v>30</v>
      </c>
      <c r="G268">
        <v>90</v>
      </c>
      <c r="H268" s="9">
        <v>0</v>
      </c>
      <c r="I268">
        <v>28.61</v>
      </c>
      <c r="J268" s="10">
        <f t="shared" si="8"/>
        <v>11</v>
      </c>
      <c r="K268" s="11">
        <f t="shared" si="9"/>
        <v>0.31788888888888889</v>
      </c>
      <c r="L268" t="str">
        <f>VLOOKUP(C268,Customers!$A$2:$F$1001,2,FALSE())</f>
        <v>Linda Lopez</v>
      </c>
      <c r="M268" t="str">
        <f>VLOOKUP(C268,Customers!$A$2:$F$1001,3,FALSE())</f>
        <v>North</v>
      </c>
      <c r="N268" t="str">
        <f>VLOOKUP(C268,Customers!$A$2:$F$1001,4,FALSE())</f>
        <v>Corporate</v>
      </c>
    </row>
    <row r="269" spans="1:14" x14ac:dyDescent="0.25">
      <c r="A269">
        <v>268</v>
      </c>
      <c r="B269" t="s">
        <v>2003</v>
      </c>
      <c r="C269" t="s">
        <v>540</v>
      </c>
      <c r="D269" t="s">
        <v>1816</v>
      </c>
      <c r="E269">
        <v>1</v>
      </c>
      <c r="F269">
        <v>30</v>
      </c>
      <c r="G269">
        <v>30</v>
      </c>
      <c r="H269" s="9">
        <v>0.15</v>
      </c>
      <c r="I269">
        <v>-1.36</v>
      </c>
      <c r="J269" s="10">
        <f t="shared" si="8"/>
        <v>2</v>
      </c>
      <c r="K269" s="11">
        <f t="shared" si="9"/>
        <v>-4.5333333333333337E-2</v>
      </c>
      <c r="L269" t="str">
        <f>VLOOKUP(C269,Customers!$A$2:$F$1001,2,FALSE())</f>
        <v>Mark Miller</v>
      </c>
      <c r="M269" t="str">
        <f>VLOOKUP(C269,Customers!$A$2:$F$1001,3,FALSE())</f>
        <v>West</v>
      </c>
      <c r="N269" t="str">
        <f>VLOOKUP(C269,Customers!$A$2:$F$1001,4,FALSE())</f>
        <v>Corporate</v>
      </c>
    </row>
    <row r="270" spans="1:14" x14ac:dyDescent="0.25">
      <c r="A270">
        <v>269</v>
      </c>
      <c r="B270" t="s">
        <v>2004</v>
      </c>
      <c r="C270" t="s">
        <v>542</v>
      </c>
      <c r="D270" t="s">
        <v>1814</v>
      </c>
      <c r="E270">
        <v>4</v>
      </c>
      <c r="F270">
        <v>500</v>
      </c>
      <c r="G270">
        <v>2000</v>
      </c>
      <c r="H270" s="9">
        <v>0.2</v>
      </c>
      <c r="I270">
        <v>44.6</v>
      </c>
      <c r="J270" s="10">
        <f t="shared" si="8"/>
        <v>2</v>
      </c>
      <c r="K270" s="11">
        <f t="shared" si="9"/>
        <v>2.23E-2</v>
      </c>
      <c r="L270" t="str">
        <f>VLOOKUP(C270,Customers!$A$2:$F$1001,2,FALSE())</f>
        <v>Daniel Jones</v>
      </c>
      <c r="M270" t="str">
        <f>VLOOKUP(C270,Customers!$A$2:$F$1001,3,FALSE())</f>
        <v>South</v>
      </c>
      <c r="N270" t="str">
        <f>VLOOKUP(C270,Customers!$A$2:$F$1001,4,FALSE())</f>
        <v>Corporate</v>
      </c>
    </row>
    <row r="271" spans="1:14" x14ac:dyDescent="0.25">
      <c r="A271">
        <v>270</v>
      </c>
      <c r="B271" t="s">
        <v>2005</v>
      </c>
      <c r="C271" t="s">
        <v>544</v>
      </c>
      <c r="D271" t="s">
        <v>1816</v>
      </c>
      <c r="E271">
        <v>1</v>
      </c>
      <c r="F271">
        <v>300</v>
      </c>
      <c r="G271">
        <v>300</v>
      </c>
      <c r="H271" s="9">
        <v>0</v>
      </c>
      <c r="I271">
        <v>48.03</v>
      </c>
      <c r="J271" s="10">
        <f t="shared" si="8"/>
        <v>7</v>
      </c>
      <c r="K271" s="11">
        <f t="shared" si="9"/>
        <v>0.16009999999999999</v>
      </c>
      <c r="L271" t="str">
        <f>VLOOKUP(C271,Customers!$A$2:$F$1001,2,FALSE())</f>
        <v>Betty Smith</v>
      </c>
      <c r="M271" t="str">
        <f>VLOOKUP(C271,Customers!$A$2:$F$1001,3,FALSE())</f>
        <v>South</v>
      </c>
      <c r="N271" t="str">
        <f>VLOOKUP(C271,Customers!$A$2:$F$1001,4,FALSE())</f>
        <v>Home Office</v>
      </c>
    </row>
    <row r="272" spans="1:14" x14ac:dyDescent="0.25">
      <c r="A272">
        <v>271</v>
      </c>
      <c r="B272" t="s">
        <v>1979</v>
      </c>
      <c r="C272" t="s">
        <v>546</v>
      </c>
      <c r="D272" t="s">
        <v>1812</v>
      </c>
      <c r="E272">
        <v>4</v>
      </c>
      <c r="F272">
        <v>30</v>
      </c>
      <c r="G272">
        <v>120</v>
      </c>
      <c r="H272" s="9">
        <v>0.2</v>
      </c>
      <c r="I272">
        <v>5.64</v>
      </c>
      <c r="J272" s="10">
        <f t="shared" si="8"/>
        <v>6</v>
      </c>
      <c r="K272" s="11">
        <f t="shared" si="9"/>
        <v>4.7E-2</v>
      </c>
      <c r="L272" t="str">
        <f>VLOOKUP(C272,Customers!$A$2:$F$1001,2,FALSE())</f>
        <v>Emily Williams</v>
      </c>
      <c r="M272" t="str">
        <f>VLOOKUP(C272,Customers!$A$2:$F$1001,3,FALSE())</f>
        <v>West</v>
      </c>
      <c r="N272" t="str">
        <f>VLOOKUP(C272,Customers!$A$2:$F$1001,4,FALSE())</f>
        <v>Corporate</v>
      </c>
    </row>
    <row r="273" spans="1:14" x14ac:dyDescent="0.25">
      <c r="A273">
        <v>272</v>
      </c>
      <c r="B273" t="s">
        <v>2006</v>
      </c>
      <c r="C273" t="s">
        <v>548</v>
      </c>
      <c r="D273" t="s">
        <v>1816</v>
      </c>
      <c r="E273">
        <v>2</v>
      </c>
      <c r="F273">
        <v>50</v>
      </c>
      <c r="G273">
        <v>100</v>
      </c>
      <c r="H273" s="9">
        <v>0.1</v>
      </c>
      <c r="I273">
        <v>0.64</v>
      </c>
      <c r="J273" s="10">
        <f t="shared" si="8"/>
        <v>2</v>
      </c>
      <c r="K273" s="11">
        <f t="shared" si="9"/>
        <v>6.4000000000000003E-3</v>
      </c>
      <c r="L273" t="str">
        <f>VLOOKUP(C273,Customers!$A$2:$F$1001,2,FALSE())</f>
        <v>Elizabeth Miller</v>
      </c>
      <c r="M273" t="str">
        <f>VLOOKUP(C273,Customers!$A$2:$F$1001,3,FALSE())</f>
        <v>South</v>
      </c>
      <c r="N273" t="str">
        <f>VLOOKUP(C273,Customers!$A$2:$F$1001,4,FALSE())</f>
        <v>Corporate</v>
      </c>
    </row>
    <row r="274" spans="1:14" x14ac:dyDescent="0.25">
      <c r="A274">
        <v>273</v>
      </c>
      <c r="B274" t="s">
        <v>2007</v>
      </c>
      <c r="C274" t="s">
        <v>549</v>
      </c>
      <c r="D274" t="s">
        <v>1812</v>
      </c>
      <c r="E274">
        <v>1</v>
      </c>
      <c r="F274">
        <v>50</v>
      </c>
      <c r="G274">
        <v>50</v>
      </c>
      <c r="H274" s="9">
        <v>0.1</v>
      </c>
      <c r="I274">
        <v>13.31</v>
      </c>
      <c r="J274" s="10">
        <f t="shared" si="8"/>
        <v>5</v>
      </c>
      <c r="K274" s="11">
        <f t="shared" si="9"/>
        <v>0.26619999999999999</v>
      </c>
      <c r="L274" t="str">
        <f>VLOOKUP(C274,Customers!$A$2:$F$1001,2,FALSE())</f>
        <v>Dorothy Williams</v>
      </c>
      <c r="M274" t="str">
        <f>VLOOKUP(C274,Customers!$A$2:$F$1001,3,FALSE())</f>
        <v>South</v>
      </c>
      <c r="N274" t="str">
        <f>VLOOKUP(C274,Customers!$A$2:$F$1001,4,FALSE())</f>
        <v>Corporate</v>
      </c>
    </row>
    <row r="275" spans="1:14" x14ac:dyDescent="0.25">
      <c r="A275">
        <v>274</v>
      </c>
      <c r="B275" t="s">
        <v>1869</v>
      </c>
      <c r="C275" t="s">
        <v>550</v>
      </c>
      <c r="D275" t="s">
        <v>1814</v>
      </c>
      <c r="E275">
        <v>2</v>
      </c>
      <c r="F275">
        <v>500</v>
      </c>
      <c r="G275">
        <v>1000</v>
      </c>
      <c r="H275" s="9">
        <v>0.1</v>
      </c>
      <c r="I275">
        <v>132.38</v>
      </c>
      <c r="J275" s="10">
        <f t="shared" si="8"/>
        <v>4</v>
      </c>
      <c r="K275" s="11">
        <f t="shared" si="9"/>
        <v>0.13238</v>
      </c>
      <c r="L275" t="str">
        <f>VLOOKUP(C275,Customers!$A$2:$F$1001,2,FALSE())</f>
        <v>Nancy White</v>
      </c>
      <c r="M275" t="str">
        <f>VLOOKUP(C275,Customers!$A$2:$F$1001,3,FALSE())</f>
        <v>East</v>
      </c>
      <c r="N275" t="str">
        <f>VLOOKUP(C275,Customers!$A$2:$F$1001,4,FALSE())</f>
        <v>Home Office</v>
      </c>
    </row>
    <row r="276" spans="1:14" x14ac:dyDescent="0.25">
      <c r="A276">
        <v>275</v>
      </c>
      <c r="B276" t="s">
        <v>1995</v>
      </c>
      <c r="C276" t="s">
        <v>552</v>
      </c>
      <c r="D276" t="s">
        <v>1814</v>
      </c>
      <c r="E276">
        <v>2</v>
      </c>
      <c r="F276">
        <v>500</v>
      </c>
      <c r="G276">
        <v>1000</v>
      </c>
      <c r="H276" s="9">
        <v>0.1</v>
      </c>
      <c r="I276">
        <v>87.49</v>
      </c>
      <c r="J276" s="10">
        <f t="shared" si="8"/>
        <v>4</v>
      </c>
      <c r="K276" s="11">
        <f t="shared" si="9"/>
        <v>8.7489999999999998E-2</v>
      </c>
      <c r="L276" t="str">
        <f>VLOOKUP(C276,Customers!$A$2:$F$1001,2,FALSE())</f>
        <v>Margaret Ramirez</v>
      </c>
      <c r="M276" t="str">
        <f>VLOOKUP(C276,Customers!$A$2:$F$1001,3,FALSE())</f>
        <v>North</v>
      </c>
      <c r="N276" t="str">
        <f>VLOOKUP(C276,Customers!$A$2:$F$1001,4,FALSE())</f>
        <v>Home Office</v>
      </c>
    </row>
    <row r="277" spans="1:14" x14ac:dyDescent="0.25">
      <c r="A277">
        <v>276</v>
      </c>
      <c r="B277" t="s">
        <v>1859</v>
      </c>
      <c r="C277" t="s">
        <v>554</v>
      </c>
      <c r="D277" t="s">
        <v>1812</v>
      </c>
      <c r="E277">
        <v>4</v>
      </c>
      <c r="F277">
        <v>25</v>
      </c>
      <c r="G277">
        <v>100</v>
      </c>
      <c r="H277" s="9">
        <v>0.15</v>
      </c>
      <c r="I277">
        <v>24.07</v>
      </c>
      <c r="J277" s="10">
        <f t="shared" si="8"/>
        <v>10</v>
      </c>
      <c r="K277" s="11">
        <f t="shared" si="9"/>
        <v>0.2407</v>
      </c>
      <c r="L277" t="str">
        <f>VLOOKUP(C277,Customers!$A$2:$F$1001,2,FALSE())</f>
        <v>Kenneth Thomas</v>
      </c>
      <c r="M277" t="str">
        <f>VLOOKUP(C277,Customers!$A$2:$F$1001,3,FALSE())</f>
        <v>South</v>
      </c>
      <c r="N277" t="str">
        <f>VLOOKUP(C277,Customers!$A$2:$F$1001,4,FALSE())</f>
        <v>Consumer</v>
      </c>
    </row>
    <row r="278" spans="1:14" x14ac:dyDescent="0.25">
      <c r="A278">
        <v>277</v>
      </c>
      <c r="B278" t="s">
        <v>1841</v>
      </c>
      <c r="C278" t="s">
        <v>556</v>
      </c>
      <c r="D278" t="s">
        <v>1814</v>
      </c>
      <c r="E278">
        <v>4</v>
      </c>
      <c r="F278">
        <v>25</v>
      </c>
      <c r="G278">
        <v>100</v>
      </c>
      <c r="H278" s="9">
        <v>0.05</v>
      </c>
      <c r="I278">
        <v>18.91</v>
      </c>
      <c r="J278" s="10">
        <f t="shared" si="8"/>
        <v>8</v>
      </c>
      <c r="K278" s="11">
        <f t="shared" si="9"/>
        <v>0.18909999999999999</v>
      </c>
      <c r="L278" t="str">
        <f>VLOOKUP(C278,Customers!$A$2:$F$1001,2,FALSE())</f>
        <v>Dorothy Gonzalez</v>
      </c>
      <c r="M278" t="str">
        <f>VLOOKUP(C278,Customers!$A$2:$F$1001,3,FALSE())</f>
        <v>North</v>
      </c>
      <c r="N278" t="str">
        <f>VLOOKUP(C278,Customers!$A$2:$F$1001,4,FALSE())</f>
        <v>Corporate</v>
      </c>
    </row>
    <row r="279" spans="1:14" x14ac:dyDescent="0.25">
      <c r="A279">
        <v>278</v>
      </c>
      <c r="B279" t="s">
        <v>1820</v>
      </c>
      <c r="C279" t="s">
        <v>558</v>
      </c>
      <c r="D279" t="s">
        <v>1814</v>
      </c>
      <c r="E279">
        <v>4</v>
      </c>
      <c r="F279">
        <v>25</v>
      </c>
      <c r="G279">
        <v>100</v>
      </c>
      <c r="H279" s="9">
        <v>0.05</v>
      </c>
      <c r="I279">
        <v>20.149999999999999</v>
      </c>
      <c r="J279" s="10">
        <f t="shared" si="8"/>
        <v>3</v>
      </c>
      <c r="K279" s="11">
        <f t="shared" si="9"/>
        <v>0.20149999999999998</v>
      </c>
      <c r="L279" t="str">
        <f>VLOOKUP(C279,Customers!$A$2:$F$1001,2,FALSE())</f>
        <v>Deborah Lee</v>
      </c>
      <c r="M279" t="str">
        <f>VLOOKUP(C279,Customers!$A$2:$F$1001,3,FALSE())</f>
        <v>North</v>
      </c>
      <c r="N279" t="str">
        <f>VLOOKUP(C279,Customers!$A$2:$F$1001,4,FALSE())</f>
        <v>Consumer</v>
      </c>
    </row>
    <row r="280" spans="1:14" x14ac:dyDescent="0.25">
      <c r="A280">
        <v>279</v>
      </c>
      <c r="B280" t="s">
        <v>1826</v>
      </c>
      <c r="C280" t="s">
        <v>560</v>
      </c>
      <c r="D280" t="s">
        <v>1814</v>
      </c>
      <c r="E280">
        <v>1</v>
      </c>
      <c r="F280">
        <v>500</v>
      </c>
      <c r="G280">
        <v>500</v>
      </c>
      <c r="H280" s="9">
        <v>0.05</v>
      </c>
      <c r="I280">
        <v>100.99</v>
      </c>
      <c r="J280" s="10">
        <f t="shared" si="8"/>
        <v>8</v>
      </c>
      <c r="K280" s="11">
        <f t="shared" si="9"/>
        <v>0.20197999999999999</v>
      </c>
      <c r="L280" t="str">
        <f>VLOOKUP(C280,Customers!$A$2:$F$1001,2,FALSE())</f>
        <v>Andrew Scott</v>
      </c>
      <c r="M280" t="str">
        <f>VLOOKUP(C280,Customers!$A$2:$F$1001,3,FALSE())</f>
        <v>West</v>
      </c>
      <c r="N280" t="str">
        <f>VLOOKUP(C280,Customers!$A$2:$F$1001,4,FALSE())</f>
        <v>Home Office</v>
      </c>
    </row>
    <row r="281" spans="1:14" x14ac:dyDescent="0.25">
      <c r="A281">
        <v>280</v>
      </c>
      <c r="B281" t="s">
        <v>2008</v>
      </c>
      <c r="C281" t="s">
        <v>562</v>
      </c>
      <c r="D281" t="s">
        <v>1814</v>
      </c>
      <c r="E281">
        <v>3</v>
      </c>
      <c r="F281">
        <v>500</v>
      </c>
      <c r="G281">
        <v>1500</v>
      </c>
      <c r="H281" s="9">
        <v>0</v>
      </c>
      <c r="I281">
        <v>358.46</v>
      </c>
      <c r="J281" s="10">
        <f t="shared" si="8"/>
        <v>4</v>
      </c>
      <c r="K281" s="11">
        <f t="shared" si="9"/>
        <v>0.23897333333333332</v>
      </c>
      <c r="L281" t="str">
        <f>VLOOKUP(C281,Customers!$A$2:$F$1001,2,FALSE())</f>
        <v>Michelle Wright</v>
      </c>
      <c r="M281" t="str">
        <f>VLOOKUP(C281,Customers!$A$2:$F$1001,3,FALSE())</f>
        <v>East</v>
      </c>
      <c r="N281" t="str">
        <f>VLOOKUP(C281,Customers!$A$2:$F$1001,4,FALSE())</f>
        <v>Corporate</v>
      </c>
    </row>
    <row r="282" spans="1:14" x14ac:dyDescent="0.25">
      <c r="A282">
        <v>281</v>
      </c>
      <c r="B282" t="s">
        <v>1843</v>
      </c>
      <c r="C282" t="s">
        <v>564</v>
      </c>
      <c r="D282" t="s">
        <v>1812</v>
      </c>
      <c r="E282">
        <v>4</v>
      </c>
      <c r="F282">
        <v>500</v>
      </c>
      <c r="G282">
        <v>2000</v>
      </c>
      <c r="H282" s="9">
        <v>0.1</v>
      </c>
      <c r="I282">
        <v>416.35</v>
      </c>
      <c r="J282" s="10">
        <f t="shared" si="8"/>
        <v>5</v>
      </c>
      <c r="K282" s="11">
        <f t="shared" si="9"/>
        <v>0.208175</v>
      </c>
      <c r="L282" t="str">
        <f>VLOOKUP(C282,Customers!$A$2:$F$1001,2,FALSE())</f>
        <v>Anthony Johnson</v>
      </c>
      <c r="M282" t="str">
        <f>VLOOKUP(C282,Customers!$A$2:$F$1001,3,FALSE())</f>
        <v>South</v>
      </c>
      <c r="N282" t="str">
        <f>VLOOKUP(C282,Customers!$A$2:$F$1001,4,FALSE())</f>
        <v>Consumer</v>
      </c>
    </row>
    <row r="283" spans="1:14" x14ac:dyDescent="0.25">
      <c r="A283">
        <v>282</v>
      </c>
      <c r="B283" t="s">
        <v>1892</v>
      </c>
      <c r="C283" t="s">
        <v>565</v>
      </c>
      <c r="D283" t="s">
        <v>1816</v>
      </c>
      <c r="E283">
        <v>4</v>
      </c>
      <c r="F283">
        <v>50</v>
      </c>
      <c r="G283">
        <v>200</v>
      </c>
      <c r="H283" s="9">
        <v>0</v>
      </c>
      <c r="I283">
        <v>42.73</v>
      </c>
      <c r="J283" s="10">
        <f t="shared" si="8"/>
        <v>8</v>
      </c>
      <c r="K283" s="11">
        <f t="shared" si="9"/>
        <v>0.21364999999999998</v>
      </c>
      <c r="L283" t="str">
        <f>VLOOKUP(C283,Customers!$A$2:$F$1001,2,FALSE())</f>
        <v>Matthew Davis</v>
      </c>
      <c r="M283" t="str">
        <f>VLOOKUP(C283,Customers!$A$2:$F$1001,3,FALSE())</f>
        <v>South</v>
      </c>
      <c r="N283" t="str">
        <f>VLOOKUP(C283,Customers!$A$2:$F$1001,4,FALSE())</f>
        <v>Consumer</v>
      </c>
    </row>
    <row r="284" spans="1:14" x14ac:dyDescent="0.25">
      <c r="A284">
        <v>283</v>
      </c>
      <c r="B284" t="s">
        <v>2007</v>
      </c>
      <c r="C284" t="s">
        <v>567</v>
      </c>
      <c r="D284" t="s">
        <v>1816</v>
      </c>
      <c r="E284">
        <v>1</v>
      </c>
      <c r="F284">
        <v>500</v>
      </c>
      <c r="G284">
        <v>500</v>
      </c>
      <c r="H284" s="9">
        <v>0</v>
      </c>
      <c r="I284">
        <v>90.05</v>
      </c>
      <c r="J284" s="10">
        <f t="shared" si="8"/>
        <v>5</v>
      </c>
      <c r="K284" s="11">
        <f t="shared" si="9"/>
        <v>0.18009999999999998</v>
      </c>
      <c r="L284" t="str">
        <f>VLOOKUP(C284,Customers!$A$2:$F$1001,2,FALSE())</f>
        <v>Brian Martinez</v>
      </c>
      <c r="M284" t="str">
        <f>VLOOKUP(C284,Customers!$A$2:$F$1001,3,FALSE())</f>
        <v>South</v>
      </c>
      <c r="N284" t="str">
        <f>VLOOKUP(C284,Customers!$A$2:$F$1001,4,FALSE())</f>
        <v>Consumer</v>
      </c>
    </row>
    <row r="285" spans="1:14" x14ac:dyDescent="0.25">
      <c r="A285">
        <v>284</v>
      </c>
      <c r="B285" t="s">
        <v>2009</v>
      </c>
      <c r="C285" t="s">
        <v>569</v>
      </c>
      <c r="D285" t="s">
        <v>1814</v>
      </c>
      <c r="E285">
        <v>4</v>
      </c>
      <c r="F285">
        <v>50</v>
      </c>
      <c r="G285">
        <v>200</v>
      </c>
      <c r="H285" s="9">
        <v>0</v>
      </c>
      <c r="I285">
        <v>54.93</v>
      </c>
      <c r="J285" s="10">
        <f t="shared" si="8"/>
        <v>2</v>
      </c>
      <c r="K285" s="11">
        <f t="shared" si="9"/>
        <v>0.27465000000000001</v>
      </c>
      <c r="L285" t="str">
        <f>VLOOKUP(C285,Customers!$A$2:$F$1001,2,FALSE())</f>
        <v>Barbara Martinez</v>
      </c>
      <c r="M285" t="str">
        <f>VLOOKUP(C285,Customers!$A$2:$F$1001,3,FALSE())</f>
        <v>East</v>
      </c>
      <c r="N285" t="str">
        <f>VLOOKUP(C285,Customers!$A$2:$F$1001,4,FALSE())</f>
        <v>Corporate</v>
      </c>
    </row>
    <row r="286" spans="1:14" x14ac:dyDescent="0.25">
      <c r="A286">
        <v>285</v>
      </c>
      <c r="B286" t="s">
        <v>2010</v>
      </c>
      <c r="C286" t="s">
        <v>571</v>
      </c>
      <c r="D286" t="s">
        <v>1816</v>
      </c>
      <c r="E286">
        <v>1</v>
      </c>
      <c r="F286">
        <v>25</v>
      </c>
      <c r="G286">
        <v>25</v>
      </c>
      <c r="H286" s="9">
        <v>0</v>
      </c>
      <c r="I286">
        <v>4.18</v>
      </c>
      <c r="J286" s="10">
        <f t="shared" si="8"/>
        <v>8</v>
      </c>
      <c r="K286" s="11">
        <f t="shared" si="9"/>
        <v>0.16719999999999999</v>
      </c>
      <c r="L286" t="str">
        <f>VLOOKUP(C286,Customers!$A$2:$F$1001,2,FALSE())</f>
        <v>Steven Thompson</v>
      </c>
      <c r="M286" t="str">
        <f>VLOOKUP(C286,Customers!$A$2:$F$1001,3,FALSE())</f>
        <v>West</v>
      </c>
      <c r="N286" t="str">
        <f>VLOOKUP(C286,Customers!$A$2:$F$1001,4,FALSE())</f>
        <v>Consumer</v>
      </c>
    </row>
    <row r="287" spans="1:14" x14ac:dyDescent="0.25">
      <c r="A287">
        <v>286</v>
      </c>
      <c r="B287" t="s">
        <v>1967</v>
      </c>
      <c r="C287" t="s">
        <v>573</v>
      </c>
      <c r="D287" t="s">
        <v>1816</v>
      </c>
      <c r="E287">
        <v>2</v>
      </c>
      <c r="F287">
        <v>25</v>
      </c>
      <c r="G287">
        <v>50</v>
      </c>
      <c r="H287" s="9">
        <v>0.1</v>
      </c>
      <c r="I287">
        <v>0</v>
      </c>
      <c r="J287" s="10">
        <f t="shared" si="8"/>
        <v>10</v>
      </c>
      <c r="K287" s="11">
        <f t="shared" si="9"/>
        <v>0</v>
      </c>
      <c r="L287" t="str">
        <f>VLOOKUP(C287,Customers!$A$2:$F$1001,2,FALSE())</f>
        <v>Melissa Taylor</v>
      </c>
      <c r="M287" t="str">
        <f>VLOOKUP(C287,Customers!$A$2:$F$1001,3,FALSE())</f>
        <v>West</v>
      </c>
      <c r="N287" t="str">
        <f>VLOOKUP(C287,Customers!$A$2:$F$1001,4,FALSE())</f>
        <v>Consumer</v>
      </c>
    </row>
    <row r="288" spans="1:14" x14ac:dyDescent="0.25">
      <c r="A288">
        <v>287</v>
      </c>
      <c r="B288" t="s">
        <v>2003</v>
      </c>
      <c r="C288" t="s">
        <v>575</v>
      </c>
      <c r="D288" t="s">
        <v>1814</v>
      </c>
      <c r="E288">
        <v>4</v>
      </c>
      <c r="F288">
        <v>25</v>
      </c>
      <c r="G288">
        <v>100</v>
      </c>
      <c r="H288" s="9">
        <v>0.1</v>
      </c>
      <c r="I288">
        <v>16.829999999999998</v>
      </c>
      <c r="J288" s="10">
        <f t="shared" si="8"/>
        <v>2</v>
      </c>
      <c r="K288" s="11">
        <f t="shared" si="9"/>
        <v>0.16829999999999998</v>
      </c>
      <c r="L288" t="str">
        <f>VLOOKUP(C288,Customers!$A$2:$F$1001,2,FALSE())</f>
        <v>Joseph Johnson</v>
      </c>
      <c r="M288" t="str">
        <f>VLOOKUP(C288,Customers!$A$2:$F$1001,3,FALSE())</f>
        <v>South</v>
      </c>
      <c r="N288" t="str">
        <f>VLOOKUP(C288,Customers!$A$2:$F$1001,4,FALSE())</f>
        <v>Home Office</v>
      </c>
    </row>
    <row r="289" spans="1:14" x14ac:dyDescent="0.25">
      <c r="A289">
        <v>288</v>
      </c>
      <c r="B289" t="s">
        <v>2011</v>
      </c>
      <c r="C289" t="s">
        <v>577</v>
      </c>
      <c r="D289" t="s">
        <v>1814</v>
      </c>
      <c r="E289">
        <v>4</v>
      </c>
      <c r="F289">
        <v>30</v>
      </c>
      <c r="G289">
        <v>120</v>
      </c>
      <c r="H289" s="9">
        <v>0.05</v>
      </c>
      <c r="I289">
        <v>19.760000000000002</v>
      </c>
      <c r="J289" s="10">
        <f t="shared" si="8"/>
        <v>1</v>
      </c>
      <c r="K289" s="11">
        <f t="shared" si="9"/>
        <v>0.16466666666666668</v>
      </c>
      <c r="L289" t="str">
        <f>VLOOKUP(C289,Customers!$A$2:$F$1001,2,FALSE())</f>
        <v>James Anderson</v>
      </c>
      <c r="M289" t="str">
        <f>VLOOKUP(C289,Customers!$A$2:$F$1001,3,FALSE())</f>
        <v>South</v>
      </c>
      <c r="N289" t="str">
        <f>VLOOKUP(C289,Customers!$A$2:$F$1001,4,FALSE())</f>
        <v>Corporate</v>
      </c>
    </row>
    <row r="290" spans="1:14" x14ac:dyDescent="0.25">
      <c r="A290">
        <v>289</v>
      </c>
      <c r="B290" t="s">
        <v>2012</v>
      </c>
      <c r="C290" t="s">
        <v>579</v>
      </c>
      <c r="D290" t="s">
        <v>1816</v>
      </c>
      <c r="E290">
        <v>2</v>
      </c>
      <c r="F290">
        <v>30</v>
      </c>
      <c r="G290">
        <v>60</v>
      </c>
      <c r="H290" s="9">
        <v>0</v>
      </c>
      <c r="I290">
        <v>9.51</v>
      </c>
      <c r="J290" s="10">
        <f t="shared" si="8"/>
        <v>11</v>
      </c>
      <c r="K290" s="11">
        <f t="shared" si="9"/>
        <v>0.1585</v>
      </c>
      <c r="L290" t="str">
        <f>VLOOKUP(C290,Customers!$A$2:$F$1001,2,FALSE())</f>
        <v>George Lee</v>
      </c>
      <c r="M290" t="str">
        <f>VLOOKUP(C290,Customers!$A$2:$F$1001,3,FALSE())</f>
        <v>South</v>
      </c>
      <c r="N290" t="str">
        <f>VLOOKUP(C290,Customers!$A$2:$F$1001,4,FALSE())</f>
        <v>Consumer</v>
      </c>
    </row>
    <row r="291" spans="1:14" x14ac:dyDescent="0.25">
      <c r="A291">
        <v>290</v>
      </c>
      <c r="B291" t="s">
        <v>1949</v>
      </c>
      <c r="C291" t="s">
        <v>581</v>
      </c>
      <c r="D291" t="s">
        <v>1812</v>
      </c>
      <c r="E291">
        <v>2</v>
      </c>
      <c r="F291">
        <v>300</v>
      </c>
      <c r="G291">
        <v>600</v>
      </c>
      <c r="H291" s="9">
        <v>0.05</v>
      </c>
      <c r="I291">
        <v>144.49</v>
      </c>
      <c r="J291" s="10">
        <f t="shared" si="8"/>
        <v>10</v>
      </c>
      <c r="K291" s="11">
        <f t="shared" si="9"/>
        <v>0.24081666666666668</v>
      </c>
      <c r="L291" t="str">
        <f>VLOOKUP(C291,Customers!$A$2:$F$1001,2,FALSE())</f>
        <v>Brian Jones</v>
      </c>
      <c r="M291" t="str">
        <f>VLOOKUP(C291,Customers!$A$2:$F$1001,3,FALSE())</f>
        <v>East</v>
      </c>
      <c r="N291" t="str">
        <f>VLOOKUP(C291,Customers!$A$2:$F$1001,4,FALSE())</f>
        <v>Consumer</v>
      </c>
    </row>
    <row r="292" spans="1:14" x14ac:dyDescent="0.25">
      <c r="A292">
        <v>291</v>
      </c>
      <c r="B292" t="s">
        <v>2013</v>
      </c>
      <c r="C292" t="s">
        <v>583</v>
      </c>
      <c r="D292" t="s">
        <v>1814</v>
      </c>
      <c r="E292">
        <v>2</v>
      </c>
      <c r="F292">
        <v>300</v>
      </c>
      <c r="G292">
        <v>600</v>
      </c>
      <c r="H292" s="9">
        <v>0.05</v>
      </c>
      <c r="I292">
        <v>77.260000000000005</v>
      </c>
      <c r="J292" s="10">
        <f t="shared" si="8"/>
        <v>1</v>
      </c>
      <c r="K292" s="11">
        <f t="shared" si="9"/>
        <v>0.12876666666666667</v>
      </c>
      <c r="L292" t="str">
        <f>VLOOKUP(C292,Customers!$A$2:$F$1001,2,FALSE())</f>
        <v>John King</v>
      </c>
      <c r="M292" t="str">
        <f>VLOOKUP(C292,Customers!$A$2:$F$1001,3,FALSE())</f>
        <v>South</v>
      </c>
      <c r="N292" t="str">
        <f>VLOOKUP(C292,Customers!$A$2:$F$1001,4,FALSE())</f>
        <v>Home Office</v>
      </c>
    </row>
    <row r="293" spans="1:14" x14ac:dyDescent="0.25">
      <c r="A293">
        <v>292</v>
      </c>
      <c r="B293" t="s">
        <v>1829</v>
      </c>
      <c r="C293" t="s">
        <v>585</v>
      </c>
      <c r="D293" t="s">
        <v>1812</v>
      </c>
      <c r="E293">
        <v>4</v>
      </c>
      <c r="F293">
        <v>300</v>
      </c>
      <c r="G293">
        <v>1200</v>
      </c>
      <c r="H293" s="9">
        <v>0.1</v>
      </c>
      <c r="I293">
        <v>287.45999999999998</v>
      </c>
      <c r="J293" s="10">
        <f t="shared" si="8"/>
        <v>2</v>
      </c>
      <c r="K293" s="11">
        <f t="shared" si="9"/>
        <v>0.23954999999999999</v>
      </c>
      <c r="L293" t="str">
        <f>VLOOKUP(C293,Customers!$A$2:$F$1001,2,FALSE())</f>
        <v>Jennifer Williams</v>
      </c>
      <c r="M293" t="str">
        <f>VLOOKUP(C293,Customers!$A$2:$F$1001,3,FALSE())</f>
        <v>East</v>
      </c>
      <c r="N293" t="str">
        <f>VLOOKUP(C293,Customers!$A$2:$F$1001,4,FALSE())</f>
        <v>Corporate</v>
      </c>
    </row>
    <row r="294" spans="1:14" x14ac:dyDescent="0.25">
      <c r="A294">
        <v>293</v>
      </c>
      <c r="B294" t="s">
        <v>1987</v>
      </c>
      <c r="C294" t="s">
        <v>587</v>
      </c>
      <c r="D294" t="s">
        <v>1816</v>
      </c>
      <c r="E294">
        <v>3</v>
      </c>
      <c r="F294">
        <v>30</v>
      </c>
      <c r="G294">
        <v>90</v>
      </c>
      <c r="H294" s="9">
        <v>0.1</v>
      </c>
      <c r="I294">
        <v>0.52</v>
      </c>
      <c r="J294" s="10">
        <f t="shared" si="8"/>
        <v>5</v>
      </c>
      <c r="K294" s="11">
        <f t="shared" si="9"/>
        <v>5.7777777777777784E-3</v>
      </c>
      <c r="L294" t="str">
        <f>VLOOKUP(C294,Customers!$A$2:$F$1001,2,FALSE())</f>
        <v>Christopher Torres</v>
      </c>
      <c r="M294" t="str">
        <f>VLOOKUP(C294,Customers!$A$2:$F$1001,3,FALSE())</f>
        <v>East</v>
      </c>
      <c r="N294" t="str">
        <f>VLOOKUP(C294,Customers!$A$2:$F$1001,4,FALSE())</f>
        <v>Corporate</v>
      </c>
    </row>
    <row r="295" spans="1:14" x14ac:dyDescent="0.25">
      <c r="A295">
        <v>294</v>
      </c>
      <c r="B295" t="s">
        <v>2014</v>
      </c>
      <c r="C295" t="s">
        <v>589</v>
      </c>
      <c r="D295" t="s">
        <v>1814</v>
      </c>
      <c r="E295">
        <v>3</v>
      </c>
      <c r="F295">
        <v>30</v>
      </c>
      <c r="G295">
        <v>90</v>
      </c>
      <c r="H295" s="9">
        <v>0.05</v>
      </c>
      <c r="I295">
        <v>11.73</v>
      </c>
      <c r="J295" s="10">
        <f t="shared" si="8"/>
        <v>3</v>
      </c>
      <c r="K295" s="11">
        <f t="shared" si="9"/>
        <v>0.13033333333333333</v>
      </c>
      <c r="L295" t="str">
        <f>VLOOKUP(C295,Customers!$A$2:$F$1001,2,FALSE())</f>
        <v>Paul Brown</v>
      </c>
      <c r="M295" t="str">
        <f>VLOOKUP(C295,Customers!$A$2:$F$1001,3,FALSE())</f>
        <v>South</v>
      </c>
      <c r="N295" t="str">
        <f>VLOOKUP(C295,Customers!$A$2:$F$1001,4,FALSE())</f>
        <v>Consumer</v>
      </c>
    </row>
    <row r="296" spans="1:14" x14ac:dyDescent="0.25">
      <c r="A296">
        <v>295</v>
      </c>
      <c r="B296" t="s">
        <v>1994</v>
      </c>
      <c r="C296" t="s">
        <v>591</v>
      </c>
      <c r="D296" t="s">
        <v>1812</v>
      </c>
      <c r="E296">
        <v>3</v>
      </c>
      <c r="F296">
        <v>300</v>
      </c>
      <c r="G296">
        <v>900</v>
      </c>
      <c r="H296" s="9">
        <v>0.05</v>
      </c>
      <c r="I296">
        <v>275.60000000000002</v>
      </c>
      <c r="J296" s="10">
        <f t="shared" si="8"/>
        <v>7</v>
      </c>
      <c r="K296" s="11">
        <f t="shared" si="9"/>
        <v>0.30622222222222223</v>
      </c>
      <c r="L296" t="str">
        <f>VLOOKUP(C296,Customers!$A$2:$F$1001,2,FALSE())</f>
        <v>Dorothy King</v>
      </c>
      <c r="M296" t="str">
        <f>VLOOKUP(C296,Customers!$A$2:$F$1001,3,FALSE())</f>
        <v>South</v>
      </c>
      <c r="N296" t="str">
        <f>VLOOKUP(C296,Customers!$A$2:$F$1001,4,FALSE())</f>
        <v>Consumer</v>
      </c>
    </row>
    <row r="297" spans="1:14" x14ac:dyDescent="0.25">
      <c r="A297">
        <v>296</v>
      </c>
      <c r="B297" t="s">
        <v>1961</v>
      </c>
      <c r="C297" t="s">
        <v>593</v>
      </c>
      <c r="D297" t="s">
        <v>1814</v>
      </c>
      <c r="E297">
        <v>4</v>
      </c>
      <c r="F297">
        <v>300</v>
      </c>
      <c r="G297">
        <v>1200</v>
      </c>
      <c r="H297" s="9">
        <v>0.25</v>
      </c>
      <c r="I297">
        <v>16.32</v>
      </c>
      <c r="J297" s="10">
        <f t="shared" si="8"/>
        <v>9</v>
      </c>
      <c r="K297" s="11">
        <f t="shared" si="9"/>
        <v>1.3600000000000001E-2</v>
      </c>
      <c r="L297" t="str">
        <f>VLOOKUP(C297,Customers!$A$2:$F$1001,2,FALSE())</f>
        <v>Kenneth Torres</v>
      </c>
      <c r="M297" t="str">
        <f>VLOOKUP(C297,Customers!$A$2:$F$1001,3,FALSE())</f>
        <v>South</v>
      </c>
      <c r="N297" t="str">
        <f>VLOOKUP(C297,Customers!$A$2:$F$1001,4,FALSE())</f>
        <v>Consumer</v>
      </c>
    </row>
    <row r="298" spans="1:14" x14ac:dyDescent="0.25">
      <c r="A298">
        <v>297</v>
      </c>
      <c r="B298" t="s">
        <v>2015</v>
      </c>
      <c r="C298" t="s">
        <v>595</v>
      </c>
      <c r="D298" t="s">
        <v>1816</v>
      </c>
      <c r="E298">
        <v>2</v>
      </c>
      <c r="F298">
        <v>500</v>
      </c>
      <c r="G298">
        <v>1000</v>
      </c>
      <c r="H298" s="9">
        <v>0.15</v>
      </c>
      <c r="I298">
        <v>11.69</v>
      </c>
      <c r="J298" s="10">
        <f t="shared" si="8"/>
        <v>9</v>
      </c>
      <c r="K298" s="11">
        <f t="shared" si="9"/>
        <v>1.1689999999999999E-2</v>
      </c>
      <c r="L298" t="str">
        <f>VLOOKUP(C298,Customers!$A$2:$F$1001,2,FALSE())</f>
        <v>Barbara Flores</v>
      </c>
      <c r="M298" t="str">
        <f>VLOOKUP(C298,Customers!$A$2:$F$1001,3,FALSE())</f>
        <v>North</v>
      </c>
      <c r="N298" t="str">
        <f>VLOOKUP(C298,Customers!$A$2:$F$1001,4,FALSE())</f>
        <v>Corporate</v>
      </c>
    </row>
    <row r="299" spans="1:14" x14ac:dyDescent="0.25">
      <c r="A299">
        <v>298</v>
      </c>
      <c r="B299" t="s">
        <v>1989</v>
      </c>
      <c r="C299" t="s">
        <v>597</v>
      </c>
      <c r="D299" t="s">
        <v>1812</v>
      </c>
      <c r="E299">
        <v>4</v>
      </c>
      <c r="F299">
        <v>300</v>
      </c>
      <c r="G299">
        <v>1200</v>
      </c>
      <c r="H299" s="9">
        <v>0.05</v>
      </c>
      <c r="I299">
        <v>338.74</v>
      </c>
      <c r="J299" s="10">
        <f t="shared" si="8"/>
        <v>4</v>
      </c>
      <c r="K299" s="11">
        <f t="shared" si="9"/>
        <v>0.28228333333333333</v>
      </c>
      <c r="L299" t="str">
        <f>VLOOKUP(C299,Customers!$A$2:$F$1001,2,FALSE())</f>
        <v>Thomas Allen</v>
      </c>
      <c r="M299" t="str">
        <f>VLOOKUP(C299,Customers!$A$2:$F$1001,3,FALSE())</f>
        <v>North</v>
      </c>
      <c r="N299" t="str">
        <f>VLOOKUP(C299,Customers!$A$2:$F$1001,4,FALSE())</f>
        <v>Consumer</v>
      </c>
    </row>
    <row r="300" spans="1:14" x14ac:dyDescent="0.25">
      <c r="A300">
        <v>299</v>
      </c>
      <c r="B300" t="s">
        <v>1901</v>
      </c>
      <c r="C300" t="s">
        <v>599</v>
      </c>
      <c r="D300" t="s">
        <v>1816</v>
      </c>
      <c r="E300">
        <v>2</v>
      </c>
      <c r="F300">
        <v>500</v>
      </c>
      <c r="G300">
        <v>1000</v>
      </c>
      <c r="H300" s="9">
        <v>0.05</v>
      </c>
      <c r="I300">
        <v>90.27</v>
      </c>
      <c r="J300" s="10">
        <f t="shared" si="8"/>
        <v>7</v>
      </c>
      <c r="K300" s="11">
        <f t="shared" si="9"/>
        <v>9.0269999999999989E-2</v>
      </c>
      <c r="L300" t="str">
        <f>VLOOKUP(C300,Customers!$A$2:$F$1001,2,FALSE())</f>
        <v>Mark Young</v>
      </c>
      <c r="M300" t="str">
        <f>VLOOKUP(C300,Customers!$A$2:$F$1001,3,FALSE())</f>
        <v>East</v>
      </c>
      <c r="N300" t="str">
        <f>VLOOKUP(C300,Customers!$A$2:$F$1001,4,FALSE())</f>
        <v>Consumer</v>
      </c>
    </row>
    <row r="301" spans="1:14" x14ac:dyDescent="0.25">
      <c r="A301">
        <v>300</v>
      </c>
      <c r="B301" t="s">
        <v>1983</v>
      </c>
      <c r="C301" t="s">
        <v>601</v>
      </c>
      <c r="D301" t="s">
        <v>1816</v>
      </c>
      <c r="E301">
        <v>4</v>
      </c>
      <c r="F301">
        <v>50</v>
      </c>
      <c r="G301">
        <v>200</v>
      </c>
      <c r="H301" s="9">
        <v>0</v>
      </c>
      <c r="I301">
        <v>35.33</v>
      </c>
      <c r="J301" s="10">
        <f t="shared" si="8"/>
        <v>1</v>
      </c>
      <c r="K301" s="11">
        <f t="shared" si="9"/>
        <v>0.17665</v>
      </c>
      <c r="L301" t="str">
        <f>VLOOKUP(C301,Customers!$A$2:$F$1001,2,FALSE())</f>
        <v>Ashley Sanchez</v>
      </c>
      <c r="M301" t="str">
        <f>VLOOKUP(C301,Customers!$A$2:$F$1001,3,FALSE())</f>
        <v>South</v>
      </c>
      <c r="N301" t="str">
        <f>VLOOKUP(C301,Customers!$A$2:$F$1001,4,FALSE())</f>
        <v>Corporate</v>
      </c>
    </row>
    <row r="302" spans="1:14" x14ac:dyDescent="0.25">
      <c r="A302">
        <v>301</v>
      </c>
      <c r="B302" t="s">
        <v>1968</v>
      </c>
      <c r="C302" t="s">
        <v>603</v>
      </c>
      <c r="D302" t="s">
        <v>1814</v>
      </c>
      <c r="E302">
        <v>4</v>
      </c>
      <c r="F302">
        <v>30</v>
      </c>
      <c r="G302">
        <v>120</v>
      </c>
      <c r="H302" s="9">
        <v>0.2</v>
      </c>
      <c r="I302">
        <v>5.24</v>
      </c>
      <c r="J302" s="10">
        <f t="shared" si="8"/>
        <v>3</v>
      </c>
      <c r="K302" s="11">
        <f t="shared" si="9"/>
        <v>4.3666666666666666E-2</v>
      </c>
      <c r="L302" t="str">
        <f>VLOOKUP(C302,Customers!$A$2:$F$1001,2,FALSE())</f>
        <v>Donald Young</v>
      </c>
      <c r="M302" t="str">
        <f>VLOOKUP(C302,Customers!$A$2:$F$1001,3,FALSE())</f>
        <v>North</v>
      </c>
      <c r="N302" t="str">
        <f>VLOOKUP(C302,Customers!$A$2:$F$1001,4,FALSE())</f>
        <v>Home Office</v>
      </c>
    </row>
    <row r="303" spans="1:14" x14ac:dyDescent="0.25">
      <c r="A303">
        <v>302</v>
      </c>
      <c r="B303" t="s">
        <v>1851</v>
      </c>
      <c r="C303" t="s">
        <v>605</v>
      </c>
      <c r="D303" t="s">
        <v>1812</v>
      </c>
      <c r="E303">
        <v>2</v>
      </c>
      <c r="F303">
        <v>300</v>
      </c>
      <c r="G303">
        <v>600</v>
      </c>
      <c r="H303" s="9">
        <v>0.05</v>
      </c>
      <c r="I303">
        <v>167.82</v>
      </c>
      <c r="J303" s="10">
        <f t="shared" si="8"/>
        <v>7</v>
      </c>
      <c r="K303" s="11">
        <f t="shared" si="9"/>
        <v>0.2797</v>
      </c>
      <c r="L303" t="str">
        <f>VLOOKUP(C303,Customers!$A$2:$F$1001,2,FALSE())</f>
        <v>Andrew Garcia</v>
      </c>
      <c r="M303" t="str">
        <f>VLOOKUP(C303,Customers!$A$2:$F$1001,3,FALSE())</f>
        <v>East</v>
      </c>
      <c r="N303" t="str">
        <f>VLOOKUP(C303,Customers!$A$2:$F$1001,4,FALSE())</f>
        <v>Corporate</v>
      </c>
    </row>
    <row r="304" spans="1:14" x14ac:dyDescent="0.25">
      <c r="A304">
        <v>303</v>
      </c>
      <c r="B304" t="s">
        <v>1940</v>
      </c>
      <c r="C304" t="s">
        <v>606</v>
      </c>
      <c r="D304" t="s">
        <v>1816</v>
      </c>
      <c r="E304">
        <v>3</v>
      </c>
      <c r="F304">
        <v>30</v>
      </c>
      <c r="G304">
        <v>90</v>
      </c>
      <c r="H304" s="9">
        <v>0</v>
      </c>
      <c r="I304">
        <v>13.59</v>
      </c>
      <c r="J304" s="10">
        <f t="shared" si="8"/>
        <v>1</v>
      </c>
      <c r="K304" s="11">
        <f t="shared" si="9"/>
        <v>0.151</v>
      </c>
      <c r="L304" t="str">
        <f>VLOOKUP(C304,Customers!$A$2:$F$1001,2,FALSE())</f>
        <v>Dorothy Perez</v>
      </c>
      <c r="M304" t="str">
        <f>VLOOKUP(C304,Customers!$A$2:$F$1001,3,FALSE())</f>
        <v>East</v>
      </c>
      <c r="N304" t="str">
        <f>VLOOKUP(C304,Customers!$A$2:$F$1001,4,FALSE())</f>
        <v>Consumer</v>
      </c>
    </row>
    <row r="305" spans="1:14" x14ac:dyDescent="0.25">
      <c r="A305">
        <v>304</v>
      </c>
      <c r="B305" t="s">
        <v>2016</v>
      </c>
      <c r="C305" t="s">
        <v>608</v>
      </c>
      <c r="D305" t="s">
        <v>1816</v>
      </c>
      <c r="E305">
        <v>2</v>
      </c>
      <c r="F305">
        <v>30</v>
      </c>
      <c r="G305">
        <v>60</v>
      </c>
      <c r="H305" s="9">
        <v>0.25</v>
      </c>
      <c r="I305">
        <v>-3</v>
      </c>
      <c r="J305" s="10">
        <f t="shared" si="8"/>
        <v>7</v>
      </c>
      <c r="K305" s="11">
        <f t="shared" si="9"/>
        <v>-0.05</v>
      </c>
      <c r="L305" t="str">
        <f>VLOOKUP(C305,Customers!$A$2:$F$1001,2,FALSE())</f>
        <v>Thomas Lee</v>
      </c>
      <c r="M305" t="str">
        <f>VLOOKUP(C305,Customers!$A$2:$F$1001,3,FALSE())</f>
        <v>North</v>
      </c>
      <c r="N305" t="str">
        <f>VLOOKUP(C305,Customers!$A$2:$F$1001,4,FALSE())</f>
        <v>Consumer</v>
      </c>
    </row>
    <row r="306" spans="1:14" x14ac:dyDescent="0.25">
      <c r="A306">
        <v>305</v>
      </c>
      <c r="B306" t="s">
        <v>1856</v>
      </c>
      <c r="C306" t="s">
        <v>610</v>
      </c>
      <c r="D306" t="s">
        <v>1812</v>
      </c>
      <c r="E306">
        <v>1</v>
      </c>
      <c r="F306">
        <v>30</v>
      </c>
      <c r="G306">
        <v>30</v>
      </c>
      <c r="H306" s="9">
        <v>0.1</v>
      </c>
      <c r="I306">
        <v>7.4</v>
      </c>
      <c r="J306" s="10">
        <f t="shared" si="8"/>
        <v>5</v>
      </c>
      <c r="K306" s="11">
        <f t="shared" si="9"/>
        <v>0.24666666666666667</v>
      </c>
      <c r="L306" t="str">
        <f>VLOOKUP(C306,Customers!$A$2:$F$1001,2,FALSE())</f>
        <v>Edward Wright</v>
      </c>
      <c r="M306" t="str">
        <f>VLOOKUP(C306,Customers!$A$2:$F$1001,3,FALSE())</f>
        <v>West</v>
      </c>
      <c r="N306" t="str">
        <f>VLOOKUP(C306,Customers!$A$2:$F$1001,4,FALSE())</f>
        <v>Consumer</v>
      </c>
    </row>
    <row r="307" spans="1:14" x14ac:dyDescent="0.25">
      <c r="A307">
        <v>306</v>
      </c>
      <c r="B307" t="s">
        <v>1877</v>
      </c>
      <c r="C307" t="s">
        <v>611</v>
      </c>
      <c r="D307" t="s">
        <v>1816</v>
      </c>
      <c r="E307">
        <v>1</v>
      </c>
      <c r="F307">
        <v>50</v>
      </c>
      <c r="G307">
        <v>50</v>
      </c>
      <c r="H307" s="9">
        <v>0</v>
      </c>
      <c r="I307">
        <v>7.3</v>
      </c>
      <c r="J307" s="10">
        <f t="shared" si="8"/>
        <v>8</v>
      </c>
      <c r="K307" s="11">
        <f t="shared" si="9"/>
        <v>0.14599999999999999</v>
      </c>
      <c r="L307" t="str">
        <f>VLOOKUP(C307,Customers!$A$2:$F$1001,2,FALSE())</f>
        <v>Dorothy Jackson</v>
      </c>
      <c r="M307" t="str">
        <f>VLOOKUP(C307,Customers!$A$2:$F$1001,3,FALSE())</f>
        <v>West</v>
      </c>
      <c r="N307" t="str">
        <f>VLOOKUP(C307,Customers!$A$2:$F$1001,4,FALSE())</f>
        <v>Consumer</v>
      </c>
    </row>
    <row r="308" spans="1:14" x14ac:dyDescent="0.25">
      <c r="A308">
        <v>307</v>
      </c>
      <c r="B308" t="s">
        <v>2017</v>
      </c>
      <c r="C308" t="s">
        <v>612</v>
      </c>
      <c r="D308" t="s">
        <v>1816</v>
      </c>
      <c r="E308">
        <v>2</v>
      </c>
      <c r="F308">
        <v>25</v>
      </c>
      <c r="G308">
        <v>50</v>
      </c>
      <c r="H308" s="9">
        <v>0</v>
      </c>
      <c r="I308">
        <v>7.32</v>
      </c>
      <c r="J308" s="10">
        <f t="shared" si="8"/>
        <v>5</v>
      </c>
      <c r="K308" s="11">
        <f t="shared" si="9"/>
        <v>0.1464</v>
      </c>
      <c r="L308" t="str">
        <f>VLOOKUP(C308,Customers!$A$2:$F$1001,2,FALSE())</f>
        <v>Michelle Thomas</v>
      </c>
      <c r="M308" t="str">
        <f>VLOOKUP(C308,Customers!$A$2:$F$1001,3,FALSE())</f>
        <v>East</v>
      </c>
      <c r="N308" t="str">
        <f>VLOOKUP(C308,Customers!$A$2:$F$1001,4,FALSE())</f>
        <v>Corporate</v>
      </c>
    </row>
    <row r="309" spans="1:14" x14ac:dyDescent="0.25">
      <c r="A309">
        <v>308</v>
      </c>
      <c r="B309" t="s">
        <v>1826</v>
      </c>
      <c r="C309" t="s">
        <v>614</v>
      </c>
      <c r="D309" t="s">
        <v>1812</v>
      </c>
      <c r="E309">
        <v>4</v>
      </c>
      <c r="F309">
        <v>300</v>
      </c>
      <c r="G309">
        <v>1200</v>
      </c>
      <c r="H309" s="9">
        <v>0</v>
      </c>
      <c r="I309">
        <v>469.67</v>
      </c>
      <c r="J309" s="10">
        <f t="shared" si="8"/>
        <v>8</v>
      </c>
      <c r="K309" s="11">
        <f t="shared" si="9"/>
        <v>0.39139166666666669</v>
      </c>
      <c r="L309" t="str">
        <f>VLOOKUP(C309,Customers!$A$2:$F$1001,2,FALSE())</f>
        <v>Paul Sanchez</v>
      </c>
      <c r="M309" t="str">
        <f>VLOOKUP(C309,Customers!$A$2:$F$1001,3,FALSE())</f>
        <v>East</v>
      </c>
      <c r="N309" t="str">
        <f>VLOOKUP(C309,Customers!$A$2:$F$1001,4,FALSE())</f>
        <v>Consumer</v>
      </c>
    </row>
    <row r="310" spans="1:14" x14ac:dyDescent="0.25">
      <c r="A310">
        <v>309</v>
      </c>
      <c r="B310" t="s">
        <v>2018</v>
      </c>
      <c r="C310" t="s">
        <v>615</v>
      </c>
      <c r="D310" t="s">
        <v>1812</v>
      </c>
      <c r="E310">
        <v>1</v>
      </c>
      <c r="F310">
        <v>25</v>
      </c>
      <c r="G310">
        <v>25</v>
      </c>
      <c r="H310" s="9">
        <v>0.1</v>
      </c>
      <c r="I310">
        <v>6.66</v>
      </c>
      <c r="J310" s="10">
        <f t="shared" si="8"/>
        <v>12</v>
      </c>
      <c r="K310" s="11">
        <f t="shared" si="9"/>
        <v>0.26640000000000003</v>
      </c>
      <c r="L310" t="str">
        <f>VLOOKUP(C310,Customers!$A$2:$F$1001,2,FALSE())</f>
        <v>Richard Hernandez</v>
      </c>
      <c r="M310" t="str">
        <f>VLOOKUP(C310,Customers!$A$2:$F$1001,3,FALSE())</f>
        <v>North</v>
      </c>
      <c r="N310" t="str">
        <f>VLOOKUP(C310,Customers!$A$2:$F$1001,4,FALSE())</f>
        <v>Corporate</v>
      </c>
    </row>
    <row r="311" spans="1:14" x14ac:dyDescent="0.25">
      <c r="A311">
        <v>310</v>
      </c>
      <c r="B311" t="s">
        <v>2019</v>
      </c>
      <c r="C311" t="s">
        <v>617</v>
      </c>
      <c r="D311" t="s">
        <v>1812</v>
      </c>
      <c r="E311">
        <v>1</v>
      </c>
      <c r="F311">
        <v>25</v>
      </c>
      <c r="G311">
        <v>25</v>
      </c>
      <c r="H311" s="9">
        <v>0</v>
      </c>
      <c r="I311">
        <v>9.11</v>
      </c>
      <c r="J311" s="10">
        <f t="shared" si="8"/>
        <v>10</v>
      </c>
      <c r="K311" s="11">
        <f t="shared" si="9"/>
        <v>0.3644</v>
      </c>
      <c r="L311" t="str">
        <f>VLOOKUP(C311,Customers!$A$2:$F$1001,2,FALSE())</f>
        <v>Patricia Garcia</v>
      </c>
      <c r="M311" t="str">
        <f>VLOOKUP(C311,Customers!$A$2:$F$1001,3,FALSE())</f>
        <v>West</v>
      </c>
      <c r="N311" t="str">
        <f>VLOOKUP(C311,Customers!$A$2:$F$1001,4,FALSE())</f>
        <v>Home Office</v>
      </c>
    </row>
    <row r="312" spans="1:14" x14ac:dyDescent="0.25">
      <c r="A312">
        <v>311</v>
      </c>
      <c r="B312" t="s">
        <v>1873</v>
      </c>
      <c r="C312" t="s">
        <v>619</v>
      </c>
      <c r="D312" t="s">
        <v>1812</v>
      </c>
      <c r="E312">
        <v>4</v>
      </c>
      <c r="F312">
        <v>25</v>
      </c>
      <c r="G312">
        <v>100</v>
      </c>
      <c r="H312" s="9">
        <v>0.2</v>
      </c>
      <c r="I312">
        <v>16.16</v>
      </c>
      <c r="J312" s="10">
        <f t="shared" si="8"/>
        <v>12</v>
      </c>
      <c r="K312" s="11">
        <f t="shared" si="9"/>
        <v>0.16159999999999999</v>
      </c>
      <c r="L312" t="str">
        <f>VLOOKUP(C312,Customers!$A$2:$F$1001,2,FALSE())</f>
        <v>Nancy Martin</v>
      </c>
      <c r="M312" t="str">
        <f>VLOOKUP(C312,Customers!$A$2:$F$1001,3,FALSE())</f>
        <v>South</v>
      </c>
      <c r="N312" t="str">
        <f>VLOOKUP(C312,Customers!$A$2:$F$1001,4,FALSE())</f>
        <v>Home Office</v>
      </c>
    </row>
    <row r="313" spans="1:14" x14ac:dyDescent="0.25">
      <c r="A313">
        <v>312</v>
      </c>
      <c r="B313" t="s">
        <v>2020</v>
      </c>
      <c r="C313" t="s">
        <v>621</v>
      </c>
      <c r="D313" t="s">
        <v>1814</v>
      </c>
      <c r="E313">
        <v>4</v>
      </c>
      <c r="F313">
        <v>30</v>
      </c>
      <c r="G313">
        <v>120</v>
      </c>
      <c r="H313" s="9">
        <v>0.2</v>
      </c>
      <c r="I313">
        <v>-0.19</v>
      </c>
      <c r="J313" s="10">
        <f t="shared" si="8"/>
        <v>9</v>
      </c>
      <c r="K313" s="11">
        <f t="shared" si="9"/>
        <v>-1.5833333333333333E-3</v>
      </c>
      <c r="L313" t="str">
        <f>VLOOKUP(C313,Customers!$A$2:$F$1001,2,FALSE())</f>
        <v>David Taylor</v>
      </c>
      <c r="M313" t="str">
        <f>VLOOKUP(C313,Customers!$A$2:$F$1001,3,FALSE())</f>
        <v>West</v>
      </c>
      <c r="N313" t="str">
        <f>VLOOKUP(C313,Customers!$A$2:$F$1001,4,FALSE())</f>
        <v>Consumer</v>
      </c>
    </row>
    <row r="314" spans="1:14" x14ac:dyDescent="0.25">
      <c r="A314">
        <v>313</v>
      </c>
      <c r="B314" t="s">
        <v>1848</v>
      </c>
      <c r="C314" t="s">
        <v>623</v>
      </c>
      <c r="D314" t="s">
        <v>1812</v>
      </c>
      <c r="E314">
        <v>3</v>
      </c>
      <c r="F314">
        <v>500</v>
      </c>
      <c r="G314">
        <v>1500</v>
      </c>
      <c r="H314" s="9">
        <v>0.05</v>
      </c>
      <c r="I314">
        <v>508.03</v>
      </c>
      <c r="J314" s="10">
        <f t="shared" si="8"/>
        <v>3</v>
      </c>
      <c r="K314" s="11">
        <f t="shared" si="9"/>
        <v>0.33868666666666664</v>
      </c>
      <c r="L314" t="str">
        <f>VLOOKUP(C314,Customers!$A$2:$F$1001,2,FALSE())</f>
        <v>Donald Martinez</v>
      </c>
      <c r="M314" t="str">
        <f>VLOOKUP(C314,Customers!$A$2:$F$1001,3,FALSE())</f>
        <v>East</v>
      </c>
      <c r="N314" t="str">
        <f>VLOOKUP(C314,Customers!$A$2:$F$1001,4,FALSE())</f>
        <v>Consumer</v>
      </c>
    </row>
    <row r="315" spans="1:14" x14ac:dyDescent="0.25">
      <c r="A315">
        <v>314</v>
      </c>
      <c r="B315" t="s">
        <v>1995</v>
      </c>
      <c r="C315" t="s">
        <v>625</v>
      </c>
      <c r="D315" t="s">
        <v>1814</v>
      </c>
      <c r="E315">
        <v>4</v>
      </c>
      <c r="F315">
        <v>30</v>
      </c>
      <c r="G315">
        <v>120</v>
      </c>
      <c r="H315" s="9">
        <v>0.1</v>
      </c>
      <c r="I315">
        <v>17.55</v>
      </c>
      <c r="J315" s="10">
        <f t="shared" si="8"/>
        <v>4</v>
      </c>
      <c r="K315" s="11">
        <f t="shared" si="9"/>
        <v>0.14625000000000002</v>
      </c>
      <c r="L315" t="str">
        <f>VLOOKUP(C315,Customers!$A$2:$F$1001,2,FALSE())</f>
        <v>Thomas Anderson</v>
      </c>
      <c r="M315" t="str">
        <f>VLOOKUP(C315,Customers!$A$2:$F$1001,3,FALSE())</f>
        <v>North</v>
      </c>
      <c r="N315" t="str">
        <f>VLOOKUP(C315,Customers!$A$2:$F$1001,4,FALSE())</f>
        <v>Consumer</v>
      </c>
    </row>
    <row r="316" spans="1:14" x14ac:dyDescent="0.25">
      <c r="A316">
        <v>315</v>
      </c>
      <c r="B316" t="s">
        <v>2021</v>
      </c>
      <c r="C316" t="s">
        <v>627</v>
      </c>
      <c r="D316" t="s">
        <v>1814</v>
      </c>
      <c r="E316">
        <v>2</v>
      </c>
      <c r="F316">
        <v>30</v>
      </c>
      <c r="G316">
        <v>60</v>
      </c>
      <c r="H316" s="9">
        <v>0</v>
      </c>
      <c r="I316">
        <v>20.89</v>
      </c>
      <c r="J316" s="10">
        <f t="shared" si="8"/>
        <v>6</v>
      </c>
      <c r="K316" s="11">
        <f t="shared" si="9"/>
        <v>0.34816666666666668</v>
      </c>
      <c r="L316" t="str">
        <f>VLOOKUP(C316,Customers!$A$2:$F$1001,2,FALSE())</f>
        <v>Margaret Anderson</v>
      </c>
      <c r="M316" t="str">
        <f>VLOOKUP(C316,Customers!$A$2:$F$1001,3,FALSE())</f>
        <v>North</v>
      </c>
      <c r="N316" t="str">
        <f>VLOOKUP(C316,Customers!$A$2:$F$1001,4,FALSE())</f>
        <v>Consumer</v>
      </c>
    </row>
    <row r="317" spans="1:14" x14ac:dyDescent="0.25">
      <c r="A317">
        <v>316</v>
      </c>
      <c r="B317" t="s">
        <v>1830</v>
      </c>
      <c r="C317" t="s">
        <v>628</v>
      </c>
      <c r="D317" t="s">
        <v>1814</v>
      </c>
      <c r="E317">
        <v>2</v>
      </c>
      <c r="F317">
        <v>25</v>
      </c>
      <c r="G317">
        <v>50</v>
      </c>
      <c r="H317" s="9">
        <v>0</v>
      </c>
      <c r="I317">
        <v>10.71</v>
      </c>
      <c r="J317" s="10">
        <f t="shared" si="8"/>
        <v>4</v>
      </c>
      <c r="K317" s="11">
        <f t="shared" si="9"/>
        <v>0.21420000000000003</v>
      </c>
      <c r="L317" t="str">
        <f>VLOOKUP(C317,Customers!$A$2:$F$1001,2,FALSE())</f>
        <v>Andrew Wilson</v>
      </c>
      <c r="M317" t="str">
        <f>VLOOKUP(C317,Customers!$A$2:$F$1001,3,FALSE())</f>
        <v>East</v>
      </c>
      <c r="N317" t="str">
        <f>VLOOKUP(C317,Customers!$A$2:$F$1001,4,FALSE())</f>
        <v>Consumer</v>
      </c>
    </row>
    <row r="318" spans="1:14" x14ac:dyDescent="0.25">
      <c r="A318">
        <v>317</v>
      </c>
      <c r="B318" t="s">
        <v>1958</v>
      </c>
      <c r="C318" t="s">
        <v>630</v>
      </c>
      <c r="D318" t="s">
        <v>1816</v>
      </c>
      <c r="E318">
        <v>3</v>
      </c>
      <c r="F318">
        <v>30</v>
      </c>
      <c r="G318">
        <v>90</v>
      </c>
      <c r="H318" s="9">
        <v>0.1</v>
      </c>
      <c r="I318">
        <v>0.84</v>
      </c>
      <c r="J318" s="10">
        <f t="shared" si="8"/>
        <v>1</v>
      </c>
      <c r="K318" s="11">
        <f t="shared" si="9"/>
        <v>9.3333333333333324E-3</v>
      </c>
      <c r="L318" t="str">
        <f>VLOOKUP(C318,Customers!$A$2:$F$1001,2,FALSE())</f>
        <v>Nancy Thomas</v>
      </c>
      <c r="M318" t="str">
        <f>VLOOKUP(C318,Customers!$A$2:$F$1001,3,FALSE())</f>
        <v>East</v>
      </c>
      <c r="N318" t="str">
        <f>VLOOKUP(C318,Customers!$A$2:$F$1001,4,FALSE())</f>
        <v>Consumer</v>
      </c>
    </row>
    <row r="319" spans="1:14" x14ac:dyDescent="0.25">
      <c r="A319">
        <v>318</v>
      </c>
      <c r="B319" t="s">
        <v>2022</v>
      </c>
      <c r="C319" t="s">
        <v>632</v>
      </c>
      <c r="D319" t="s">
        <v>1814</v>
      </c>
      <c r="E319">
        <v>1</v>
      </c>
      <c r="F319">
        <v>25</v>
      </c>
      <c r="G319">
        <v>25</v>
      </c>
      <c r="H319" s="9">
        <v>0</v>
      </c>
      <c r="I319">
        <v>6.56</v>
      </c>
      <c r="J319" s="10">
        <f t="shared" si="8"/>
        <v>10</v>
      </c>
      <c r="K319" s="11">
        <f t="shared" si="9"/>
        <v>0.26239999999999997</v>
      </c>
      <c r="L319" t="str">
        <f>VLOOKUP(C319,Customers!$A$2:$F$1001,2,FALSE())</f>
        <v>Elizabeth Ramirez</v>
      </c>
      <c r="M319" t="str">
        <f>VLOOKUP(C319,Customers!$A$2:$F$1001,3,FALSE())</f>
        <v>North</v>
      </c>
      <c r="N319" t="str">
        <f>VLOOKUP(C319,Customers!$A$2:$F$1001,4,FALSE())</f>
        <v>Corporate</v>
      </c>
    </row>
    <row r="320" spans="1:14" x14ac:dyDescent="0.25">
      <c r="A320">
        <v>319</v>
      </c>
      <c r="B320" t="s">
        <v>2023</v>
      </c>
      <c r="C320" t="s">
        <v>634</v>
      </c>
      <c r="D320" t="s">
        <v>1814</v>
      </c>
      <c r="E320">
        <v>1</v>
      </c>
      <c r="F320">
        <v>500</v>
      </c>
      <c r="G320">
        <v>500</v>
      </c>
      <c r="H320" s="9">
        <v>0</v>
      </c>
      <c r="I320">
        <v>130.96</v>
      </c>
      <c r="J320" s="10">
        <f t="shared" si="8"/>
        <v>10</v>
      </c>
      <c r="K320" s="11">
        <f t="shared" si="9"/>
        <v>0.26192000000000004</v>
      </c>
      <c r="L320" t="str">
        <f>VLOOKUP(C320,Customers!$A$2:$F$1001,2,FALSE())</f>
        <v>Barbara Lopez</v>
      </c>
      <c r="M320" t="str">
        <f>VLOOKUP(C320,Customers!$A$2:$F$1001,3,FALSE())</f>
        <v>East</v>
      </c>
      <c r="N320" t="str">
        <f>VLOOKUP(C320,Customers!$A$2:$F$1001,4,FALSE())</f>
        <v>Consumer</v>
      </c>
    </row>
    <row r="321" spans="1:14" x14ac:dyDescent="0.25">
      <c r="A321">
        <v>320</v>
      </c>
      <c r="B321" t="s">
        <v>2004</v>
      </c>
      <c r="C321" t="s">
        <v>636</v>
      </c>
      <c r="D321" t="s">
        <v>1816</v>
      </c>
      <c r="E321">
        <v>4</v>
      </c>
      <c r="F321">
        <v>300</v>
      </c>
      <c r="G321">
        <v>1200</v>
      </c>
      <c r="H321" s="9">
        <v>0.05</v>
      </c>
      <c r="I321">
        <v>178.21</v>
      </c>
      <c r="J321" s="10">
        <f t="shared" si="8"/>
        <v>2</v>
      </c>
      <c r="K321" s="11">
        <f t="shared" si="9"/>
        <v>0.14850833333333335</v>
      </c>
      <c r="L321" t="str">
        <f>VLOOKUP(C321,Customers!$A$2:$F$1001,2,FALSE())</f>
        <v>Michelle Nguyen</v>
      </c>
      <c r="M321" t="str">
        <f>VLOOKUP(C321,Customers!$A$2:$F$1001,3,FALSE())</f>
        <v>West</v>
      </c>
      <c r="N321" t="str">
        <f>VLOOKUP(C321,Customers!$A$2:$F$1001,4,FALSE())</f>
        <v>Home Office</v>
      </c>
    </row>
    <row r="322" spans="1:14" x14ac:dyDescent="0.25">
      <c r="A322">
        <v>321</v>
      </c>
      <c r="B322" t="s">
        <v>2024</v>
      </c>
      <c r="C322" t="s">
        <v>638</v>
      </c>
      <c r="D322" t="s">
        <v>1816</v>
      </c>
      <c r="E322">
        <v>2</v>
      </c>
      <c r="F322">
        <v>25</v>
      </c>
      <c r="G322">
        <v>50</v>
      </c>
      <c r="H322" s="9">
        <v>0</v>
      </c>
      <c r="I322">
        <v>6.5</v>
      </c>
      <c r="J322" s="10">
        <f t="shared" ref="J322:J385" si="10">MONTH(B322)</f>
        <v>6</v>
      </c>
      <c r="K322" s="11">
        <f t="shared" ref="K322:K385" si="11">IF(G322=0,0,I322/G322)</f>
        <v>0.13</v>
      </c>
      <c r="L322" t="str">
        <f>VLOOKUP(C322,Customers!$A$2:$F$1001,2,FALSE())</f>
        <v>Kimberly Torres</v>
      </c>
      <c r="M322" t="str">
        <f>VLOOKUP(C322,Customers!$A$2:$F$1001,3,FALSE())</f>
        <v>South</v>
      </c>
      <c r="N322" t="str">
        <f>VLOOKUP(C322,Customers!$A$2:$F$1001,4,FALSE())</f>
        <v>Consumer</v>
      </c>
    </row>
    <row r="323" spans="1:14" x14ac:dyDescent="0.25">
      <c r="A323">
        <v>322</v>
      </c>
      <c r="B323" t="s">
        <v>1958</v>
      </c>
      <c r="C323" t="s">
        <v>640</v>
      </c>
      <c r="D323" t="s">
        <v>1816</v>
      </c>
      <c r="E323">
        <v>1</v>
      </c>
      <c r="F323">
        <v>500</v>
      </c>
      <c r="G323">
        <v>500</v>
      </c>
      <c r="H323" s="9">
        <v>0.05</v>
      </c>
      <c r="I323">
        <v>58.57</v>
      </c>
      <c r="J323" s="10">
        <f t="shared" si="10"/>
        <v>1</v>
      </c>
      <c r="K323" s="11">
        <f t="shared" si="11"/>
        <v>0.11713999999999999</v>
      </c>
      <c r="L323" t="str">
        <f>VLOOKUP(C323,Customers!$A$2:$F$1001,2,FALSE())</f>
        <v>Kevin Martin</v>
      </c>
      <c r="M323" t="str">
        <f>VLOOKUP(C323,Customers!$A$2:$F$1001,3,FALSE())</f>
        <v>South</v>
      </c>
      <c r="N323" t="str">
        <f>VLOOKUP(C323,Customers!$A$2:$F$1001,4,FALSE())</f>
        <v>Consumer</v>
      </c>
    </row>
    <row r="324" spans="1:14" x14ac:dyDescent="0.25">
      <c r="A324">
        <v>323</v>
      </c>
      <c r="B324" t="s">
        <v>2011</v>
      </c>
      <c r="C324" t="s">
        <v>642</v>
      </c>
      <c r="D324" t="s">
        <v>1812</v>
      </c>
      <c r="E324">
        <v>3</v>
      </c>
      <c r="F324">
        <v>300</v>
      </c>
      <c r="G324">
        <v>900</v>
      </c>
      <c r="H324" s="9">
        <v>0.1</v>
      </c>
      <c r="I324">
        <v>238.39</v>
      </c>
      <c r="J324" s="10">
        <f t="shared" si="10"/>
        <v>1</v>
      </c>
      <c r="K324" s="11">
        <f t="shared" si="11"/>
        <v>0.26487777777777777</v>
      </c>
      <c r="L324" t="str">
        <f>VLOOKUP(C324,Customers!$A$2:$F$1001,2,FALSE())</f>
        <v>Joshua Wilson</v>
      </c>
      <c r="M324" t="str">
        <f>VLOOKUP(C324,Customers!$A$2:$F$1001,3,FALSE())</f>
        <v>North</v>
      </c>
      <c r="N324" t="str">
        <f>VLOOKUP(C324,Customers!$A$2:$F$1001,4,FALSE())</f>
        <v>Consumer</v>
      </c>
    </row>
    <row r="325" spans="1:14" x14ac:dyDescent="0.25">
      <c r="A325">
        <v>324</v>
      </c>
      <c r="B325" t="s">
        <v>1915</v>
      </c>
      <c r="C325" t="s">
        <v>644</v>
      </c>
      <c r="D325" t="s">
        <v>1816</v>
      </c>
      <c r="E325">
        <v>3</v>
      </c>
      <c r="F325">
        <v>50</v>
      </c>
      <c r="G325">
        <v>150</v>
      </c>
      <c r="H325" s="9">
        <v>0.15</v>
      </c>
      <c r="I325">
        <v>-1.33</v>
      </c>
      <c r="J325" s="10">
        <f t="shared" si="10"/>
        <v>10</v>
      </c>
      <c r="K325" s="11">
        <f t="shared" si="11"/>
        <v>-8.8666666666666668E-3</v>
      </c>
      <c r="L325" t="str">
        <f>VLOOKUP(C325,Customers!$A$2:$F$1001,2,FALSE())</f>
        <v>Lisa Perez</v>
      </c>
      <c r="M325" t="str">
        <f>VLOOKUP(C325,Customers!$A$2:$F$1001,3,FALSE())</f>
        <v>West</v>
      </c>
      <c r="N325" t="str">
        <f>VLOOKUP(C325,Customers!$A$2:$F$1001,4,FALSE())</f>
        <v>Consumer</v>
      </c>
    </row>
    <row r="326" spans="1:14" x14ac:dyDescent="0.25">
      <c r="A326">
        <v>325</v>
      </c>
      <c r="B326" t="s">
        <v>2025</v>
      </c>
      <c r="C326" t="s">
        <v>646</v>
      </c>
      <c r="D326" t="s">
        <v>1816</v>
      </c>
      <c r="E326">
        <v>2</v>
      </c>
      <c r="F326">
        <v>25</v>
      </c>
      <c r="G326">
        <v>50</v>
      </c>
      <c r="H326" s="9">
        <v>0.1</v>
      </c>
      <c r="I326">
        <v>0.06</v>
      </c>
      <c r="J326" s="10">
        <f t="shared" si="10"/>
        <v>9</v>
      </c>
      <c r="K326" s="11">
        <f t="shared" si="11"/>
        <v>1.1999999999999999E-3</v>
      </c>
      <c r="L326" t="str">
        <f>VLOOKUP(C326,Customers!$A$2:$F$1001,2,FALSE())</f>
        <v>Edward King</v>
      </c>
      <c r="M326" t="str">
        <f>VLOOKUP(C326,Customers!$A$2:$F$1001,3,FALSE())</f>
        <v>South</v>
      </c>
      <c r="N326" t="str">
        <f>VLOOKUP(C326,Customers!$A$2:$F$1001,4,FALSE())</f>
        <v>Consumer</v>
      </c>
    </row>
    <row r="327" spans="1:14" x14ac:dyDescent="0.25">
      <c r="A327">
        <v>326</v>
      </c>
      <c r="B327" t="s">
        <v>2026</v>
      </c>
      <c r="C327" t="s">
        <v>648</v>
      </c>
      <c r="D327" t="s">
        <v>1814</v>
      </c>
      <c r="E327">
        <v>3</v>
      </c>
      <c r="F327">
        <v>25</v>
      </c>
      <c r="G327">
        <v>75</v>
      </c>
      <c r="H327" s="9">
        <v>0.15</v>
      </c>
      <c r="I327">
        <v>8.42</v>
      </c>
      <c r="J327" s="10">
        <f t="shared" si="10"/>
        <v>9</v>
      </c>
      <c r="K327" s="11">
        <f t="shared" si="11"/>
        <v>0.11226666666666667</v>
      </c>
      <c r="L327" t="str">
        <f>VLOOKUP(C327,Customers!$A$2:$F$1001,2,FALSE())</f>
        <v>Matthew Clark</v>
      </c>
      <c r="M327" t="str">
        <f>VLOOKUP(C327,Customers!$A$2:$F$1001,3,FALSE())</f>
        <v>West</v>
      </c>
      <c r="N327" t="str">
        <f>VLOOKUP(C327,Customers!$A$2:$F$1001,4,FALSE())</f>
        <v>Home Office</v>
      </c>
    </row>
    <row r="328" spans="1:14" x14ac:dyDescent="0.25">
      <c r="A328">
        <v>327</v>
      </c>
      <c r="B328" t="s">
        <v>1950</v>
      </c>
      <c r="C328" t="s">
        <v>650</v>
      </c>
      <c r="D328" t="s">
        <v>1816</v>
      </c>
      <c r="E328">
        <v>3</v>
      </c>
      <c r="F328">
        <v>50</v>
      </c>
      <c r="G328">
        <v>150</v>
      </c>
      <c r="H328" s="9">
        <v>0.05</v>
      </c>
      <c r="I328">
        <v>19.03</v>
      </c>
      <c r="J328" s="10">
        <f t="shared" si="10"/>
        <v>9</v>
      </c>
      <c r="K328" s="11">
        <f t="shared" si="11"/>
        <v>0.12686666666666668</v>
      </c>
      <c r="L328" t="str">
        <f>VLOOKUP(C328,Customers!$A$2:$F$1001,2,FALSE())</f>
        <v>William Allen</v>
      </c>
      <c r="M328" t="str">
        <f>VLOOKUP(C328,Customers!$A$2:$F$1001,3,FALSE())</f>
        <v>South</v>
      </c>
      <c r="N328" t="str">
        <f>VLOOKUP(C328,Customers!$A$2:$F$1001,4,FALSE())</f>
        <v>Consumer</v>
      </c>
    </row>
    <row r="329" spans="1:14" x14ac:dyDescent="0.25">
      <c r="A329">
        <v>328</v>
      </c>
      <c r="B329" t="s">
        <v>1939</v>
      </c>
      <c r="C329" t="s">
        <v>652</v>
      </c>
      <c r="D329" t="s">
        <v>1812</v>
      </c>
      <c r="E329">
        <v>2</v>
      </c>
      <c r="F329">
        <v>50</v>
      </c>
      <c r="G329">
        <v>100</v>
      </c>
      <c r="H329" s="9">
        <v>0.15</v>
      </c>
      <c r="I329">
        <v>18.8</v>
      </c>
      <c r="J329" s="10">
        <f t="shared" si="10"/>
        <v>3</v>
      </c>
      <c r="K329" s="11">
        <f t="shared" si="11"/>
        <v>0.188</v>
      </c>
      <c r="L329" t="str">
        <f>VLOOKUP(C329,Customers!$A$2:$F$1001,2,FALSE())</f>
        <v>Betty Perez</v>
      </c>
      <c r="M329" t="str">
        <f>VLOOKUP(C329,Customers!$A$2:$F$1001,3,FALSE())</f>
        <v>East</v>
      </c>
      <c r="N329" t="str">
        <f>VLOOKUP(C329,Customers!$A$2:$F$1001,4,FALSE())</f>
        <v>Consumer</v>
      </c>
    </row>
    <row r="330" spans="1:14" x14ac:dyDescent="0.25">
      <c r="A330">
        <v>329</v>
      </c>
      <c r="B330" t="s">
        <v>1958</v>
      </c>
      <c r="C330" t="s">
        <v>654</v>
      </c>
      <c r="D330" t="s">
        <v>1816</v>
      </c>
      <c r="E330">
        <v>4</v>
      </c>
      <c r="F330">
        <v>25</v>
      </c>
      <c r="G330">
        <v>100</v>
      </c>
      <c r="H330" s="9">
        <v>0.05</v>
      </c>
      <c r="I330">
        <v>9.61</v>
      </c>
      <c r="J330" s="10">
        <f t="shared" si="10"/>
        <v>1</v>
      </c>
      <c r="K330" s="11">
        <f t="shared" si="11"/>
        <v>9.6099999999999991E-2</v>
      </c>
      <c r="L330" t="str">
        <f>VLOOKUP(C330,Customers!$A$2:$F$1001,2,FALSE())</f>
        <v>Joshua Sanchez</v>
      </c>
      <c r="M330" t="str">
        <f>VLOOKUP(C330,Customers!$A$2:$F$1001,3,FALSE())</f>
        <v>North</v>
      </c>
      <c r="N330" t="str">
        <f>VLOOKUP(C330,Customers!$A$2:$F$1001,4,FALSE())</f>
        <v>Corporate</v>
      </c>
    </row>
    <row r="331" spans="1:14" x14ac:dyDescent="0.25">
      <c r="A331">
        <v>330</v>
      </c>
      <c r="B331" t="s">
        <v>1920</v>
      </c>
      <c r="C331" t="s">
        <v>656</v>
      </c>
      <c r="D331" t="s">
        <v>1812</v>
      </c>
      <c r="E331">
        <v>4</v>
      </c>
      <c r="F331">
        <v>50</v>
      </c>
      <c r="G331">
        <v>200</v>
      </c>
      <c r="H331" s="9">
        <v>0</v>
      </c>
      <c r="I331">
        <v>71.36</v>
      </c>
      <c r="J331" s="10">
        <f t="shared" si="10"/>
        <v>9</v>
      </c>
      <c r="K331" s="11">
        <f t="shared" si="11"/>
        <v>0.35680000000000001</v>
      </c>
      <c r="L331" t="str">
        <f>VLOOKUP(C331,Customers!$A$2:$F$1001,2,FALSE())</f>
        <v>Patricia Lopez</v>
      </c>
      <c r="M331" t="str">
        <f>VLOOKUP(C331,Customers!$A$2:$F$1001,3,FALSE())</f>
        <v>North</v>
      </c>
      <c r="N331" t="str">
        <f>VLOOKUP(C331,Customers!$A$2:$F$1001,4,FALSE())</f>
        <v>Consumer</v>
      </c>
    </row>
    <row r="332" spans="1:14" x14ac:dyDescent="0.25">
      <c r="A332">
        <v>331</v>
      </c>
      <c r="B332" t="s">
        <v>2027</v>
      </c>
      <c r="C332" t="s">
        <v>658</v>
      </c>
      <c r="D332" t="s">
        <v>1816</v>
      </c>
      <c r="E332">
        <v>3</v>
      </c>
      <c r="F332">
        <v>30</v>
      </c>
      <c r="G332">
        <v>90</v>
      </c>
      <c r="H332" s="9">
        <v>0.2</v>
      </c>
      <c r="I332">
        <v>-4.5</v>
      </c>
      <c r="J332" s="10">
        <f t="shared" si="10"/>
        <v>2</v>
      </c>
      <c r="K332" s="11">
        <f t="shared" si="11"/>
        <v>-0.05</v>
      </c>
      <c r="L332" t="str">
        <f>VLOOKUP(C332,Customers!$A$2:$F$1001,2,FALSE())</f>
        <v>David Robinson</v>
      </c>
      <c r="M332" t="str">
        <f>VLOOKUP(C332,Customers!$A$2:$F$1001,3,FALSE())</f>
        <v>East</v>
      </c>
      <c r="N332" t="str">
        <f>VLOOKUP(C332,Customers!$A$2:$F$1001,4,FALSE())</f>
        <v>Corporate</v>
      </c>
    </row>
    <row r="333" spans="1:14" x14ac:dyDescent="0.25">
      <c r="A333">
        <v>332</v>
      </c>
      <c r="B333" t="s">
        <v>2028</v>
      </c>
      <c r="C333" t="s">
        <v>660</v>
      </c>
      <c r="D333" t="s">
        <v>1816</v>
      </c>
      <c r="E333">
        <v>4</v>
      </c>
      <c r="F333">
        <v>300</v>
      </c>
      <c r="G333">
        <v>1200</v>
      </c>
      <c r="H333" s="9">
        <v>0</v>
      </c>
      <c r="I333">
        <v>203.07</v>
      </c>
      <c r="J333" s="10">
        <f t="shared" si="10"/>
        <v>4</v>
      </c>
      <c r="K333" s="11">
        <f t="shared" si="11"/>
        <v>0.16922499999999999</v>
      </c>
      <c r="L333" t="str">
        <f>VLOOKUP(C333,Customers!$A$2:$F$1001,2,FALSE())</f>
        <v>Mary Rodriguez</v>
      </c>
      <c r="M333" t="str">
        <f>VLOOKUP(C333,Customers!$A$2:$F$1001,3,FALSE())</f>
        <v>South</v>
      </c>
      <c r="N333" t="str">
        <f>VLOOKUP(C333,Customers!$A$2:$F$1001,4,FALSE())</f>
        <v>Consumer</v>
      </c>
    </row>
    <row r="334" spans="1:14" x14ac:dyDescent="0.25">
      <c r="A334">
        <v>333</v>
      </c>
      <c r="B334" t="s">
        <v>1871</v>
      </c>
      <c r="C334" t="s">
        <v>662</v>
      </c>
      <c r="D334" t="s">
        <v>1816</v>
      </c>
      <c r="E334">
        <v>4</v>
      </c>
      <c r="F334">
        <v>300</v>
      </c>
      <c r="G334">
        <v>1200</v>
      </c>
      <c r="H334" s="9">
        <v>0</v>
      </c>
      <c r="I334">
        <v>181.12</v>
      </c>
      <c r="J334" s="10">
        <f t="shared" si="10"/>
        <v>2</v>
      </c>
      <c r="K334" s="11">
        <f t="shared" si="11"/>
        <v>0.15093333333333334</v>
      </c>
      <c r="L334" t="str">
        <f>VLOOKUP(C334,Customers!$A$2:$F$1001,2,FALSE())</f>
        <v>Sandra Ramirez</v>
      </c>
      <c r="M334" t="str">
        <f>VLOOKUP(C334,Customers!$A$2:$F$1001,3,FALSE())</f>
        <v>East</v>
      </c>
      <c r="N334" t="str">
        <f>VLOOKUP(C334,Customers!$A$2:$F$1001,4,FALSE())</f>
        <v>Home Office</v>
      </c>
    </row>
    <row r="335" spans="1:14" x14ac:dyDescent="0.25">
      <c r="A335">
        <v>334</v>
      </c>
      <c r="B335" t="s">
        <v>2029</v>
      </c>
      <c r="C335" t="s">
        <v>664</v>
      </c>
      <c r="D335" t="s">
        <v>1816</v>
      </c>
      <c r="E335">
        <v>3</v>
      </c>
      <c r="F335">
        <v>300</v>
      </c>
      <c r="G335">
        <v>900</v>
      </c>
      <c r="H335" s="9">
        <v>0</v>
      </c>
      <c r="I335">
        <v>112.09</v>
      </c>
      <c r="J335" s="10">
        <f t="shared" si="10"/>
        <v>11</v>
      </c>
      <c r="K335" s="11">
        <f t="shared" si="11"/>
        <v>0.12454444444444444</v>
      </c>
      <c r="L335" t="str">
        <f>VLOOKUP(C335,Customers!$A$2:$F$1001,2,FALSE())</f>
        <v>Margaret Wright</v>
      </c>
      <c r="M335" t="str">
        <f>VLOOKUP(C335,Customers!$A$2:$F$1001,3,FALSE())</f>
        <v>West</v>
      </c>
      <c r="N335" t="str">
        <f>VLOOKUP(C335,Customers!$A$2:$F$1001,4,FALSE())</f>
        <v>Consumer</v>
      </c>
    </row>
    <row r="336" spans="1:14" x14ac:dyDescent="0.25">
      <c r="A336">
        <v>335</v>
      </c>
      <c r="B336" t="s">
        <v>1984</v>
      </c>
      <c r="C336" t="s">
        <v>666</v>
      </c>
      <c r="D336" t="s">
        <v>1812</v>
      </c>
      <c r="E336">
        <v>4</v>
      </c>
      <c r="F336">
        <v>30</v>
      </c>
      <c r="G336">
        <v>120</v>
      </c>
      <c r="H336" s="9">
        <v>0.05</v>
      </c>
      <c r="I336">
        <v>31.03</v>
      </c>
      <c r="J336" s="10">
        <f t="shared" si="10"/>
        <v>2</v>
      </c>
      <c r="K336" s="11">
        <f t="shared" si="11"/>
        <v>0.25858333333333333</v>
      </c>
      <c r="L336" t="str">
        <f>VLOOKUP(C336,Customers!$A$2:$F$1001,2,FALSE())</f>
        <v>Amanda Garcia</v>
      </c>
      <c r="M336" t="str">
        <f>VLOOKUP(C336,Customers!$A$2:$F$1001,3,FALSE())</f>
        <v>West</v>
      </c>
      <c r="N336" t="str">
        <f>VLOOKUP(C336,Customers!$A$2:$F$1001,4,FALSE())</f>
        <v>Consumer</v>
      </c>
    </row>
    <row r="337" spans="1:14" x14ac:dyDescent="0.25">
      <c r="A337">
        <v>336</v>
      </c>
      <c r="B337" t="s">
        <v>2030</v>
      </c>
      <c r="C337" t="s">
        <v>668</v>
      </c>
      <c r="D337" t="s">
        <v>1812</v>
      </c>
      <c r="E337">
        <v>3</v>
      </c>
      <c r="F337">
        <v>50</v>
      </c>
      <c r="G337">
        <v>150</v>
      </c>
      <c r="H337" s="9">
        <v>0.05</v>
      </c>
      <c r="I337">
        <v>40.119999999999997</v>
      </c>
      <c r="J337" s="10">
        <f t="shared" si="10"/>
        <v>12</v>
      </c>
      <c r="K337" s="11">
        <f t="shared" si="11"/>
        <v>0.26746666666666663</v>
      </c>
      <c r="L337" t="str">
        <f>VLOOKUP(C337,Customers!$A$2:$F$1001,2,FALSE())</f>
        <v>Melissa Harris</v>
      </c>
      <c r="M337" t="str">
        <f>VLOOKUP(C337,Customers!$A$2:$F$1001,3,FALSE())</f>
        <v>West</v>
      </c>
      <c r="N337" t="str">
        <f>VLOOKUP(C337,Customers!$A$2:$F$1001,4,FALSE())</f>
        <v>Corporate</v>
      </c>
    </row>
    <row r="338" spans="1:14" x14ac:dyDescent="0.25">
      <c r="A338">
        <v>337</v>
      </c>
      <c r="B338" t="s">
        <v>2031</v>
      </c>
      <c r="C338" t="s">
        <v>670</v>
      </c>
      <c r="D338" t="s">
        <v>1814</v>
      </c>
      <c r="E338">
        <v>1</v>
      </c>
      <c r="F338">
        <v>500</v>
      </c>
      <c r="G338">
        <v>500</v>
      </c>
      <c r="H338" s="9">
        <v>0.05</v>
      </c>
      <c r="I338">
        <v>98.33</v>
      </c>
      <c r="J338" s="10">
        <f t="shared" si="10"/>
        <v>5</v>
      </c>
      <c r="K338" s="11">
        <f t="shared" si="11"/>
        <v>0.19666</v>
      </c>
      <c r="L338" t="str">
        <f>VLOOKUP(C338,Customers!$A$2:$F$1001,2,FALSE())</f>
        <v>Ashley Brown</v>
      </c>
      <c r="M338" t="str">
        <f>VLOOKUP(C338,Customers!$A$2:$F$1001,3,FALSE())</f>
        <v>North</v>
      </c>
      <c r="N338" t="str">
        <f>VLOOKUP(C338,Customers!$A$2:$F$1001,4,FALSE())</f>
        <v>Home Office</v>
      </c>
    </row>
    <row r="339" spans="1:14" x14ac:dyDescent="0.25">
      <c r="A339">
        <v>338</v>
      </c>
      <c r="B339" t="s">
        <v>2005</v>
      </c>
      <c r="C339" t="s">
        <v>671</v>
      </c>
      <c r="D339" t="s">
        <v>1812</v>
      </c>
      <c r="E339">
        <v>2</v>
      </c>
      <c r="F339">
        <v>50</v>
      </c>
      <c r="G339">
        <v>100</v>
      </c>
      <c r="H339" s="9">
        <v>0.2</v>
      </c>
      <c r="I339">
        <v>10.92</v>
      </c>
      <c r="J339" s="10">
        <f t="shared" si="10"/>
        <v>7</v>
      </c>
      <c r="K339" s="11">
        <f t="shared" si="11"/>
        <v>0.10920000000000001</v>
      </c>
      <c r="L339" t="str">
        <f>VLOOKUP(C339,Customers!$A$2:$F$1001,2,FALSE())</f>
        <v>Ashley Robinson</v>
      </c>
      <c r="M339" t="str">
        <f>VLOOKUP(C339,Customers!$A$2:$F$1001,3,FALSE())</f>
        <v>East</v>
      </c>
      <c r="N339" t="str">
        <f>VLOOKUP(C339,Customers!$A$2:$F$1001,4,FALSE())</f>
        <v>Consumer</v>
      </c>
    </row>
    <row r="340" spans="1:14" x14ac:dyDescent="0.25">
      <c r="A340">
        <v>339</v>
      </c>
      <c r="B340" t="s">
        <v>1977</v>
      </c>
      <c r="C340" t="s">
        <v>673</v>
      </c>
      <c r="D340" t="s">
        <v>1816</v>
      </c>
      <c r="E340">
        <v>2</v>
      </c>
      <c r="F340">
        <v>25</v>
      </c>
      <c r="G340">
        <v>50</v>
      </c>
      <c r="H340" s="9">
        <v>0</v>
      </c>
      <c r="I340">
        <v>7.82</v>
      </c>
      <c r="J340" s="10">
        <f t="shared" si="10"/>
        <v>3</v>
      </c>
      <c r="K340" s="11">
        <f t="shared" si="11"/>
        <v>0.15640000000000001</v>
      </c>
      <c r="L340" t="str">
        <f>VLOOKUP(C340,Customers!$A$2:$F$1001,2,FALSE())</f>
        <v>Sandra Brown</v>
      </c>
      <c r="M340" t="str">
        <f>VLOOKUP(C340,Customers!$A$2:$F$1001,3,FALSE())</f>
        <v>West</v>
      </c>
      <c r="N340" t="str">
        <f>VLOOKUP(C340,Customers!$A$2:$F$1001,4,FALSE())</f>
        <v>Corporate</v>
      </c>
    </row>
    <row r="341" spans="1:14" x14ac:dyDescent="0.25">
      <c r="A341">
        <v>340</v>
      </c>
      <c r="B341" t="s">
        <v>2032</v>
      </c>
      <c r="C341" t="s">
        <v>675</v>
      </c>
      <c r="D341" t="s">
        <v>1814</v>
      </c>
      <c r="E341">
        <v>4</v>
      </c>
      <c r="F341">
        <v>300</v>
      </c>
      <c r="G341">
        <v>1200</v>
      </c>
      <c r="H341" s="9">
        <v>0.05</v>
      </c>
      <c r="I341">
        <v>246.03</v>
      </c>
      <c r="J341" s="10">
        <f t="shared" si="10"/>
        <v>10</v>
      </c>
      <c r="K341" s="11">
        <f t="shared" si="11"/>
        <v>0.20502500000000001</v>
      </c>
      <c r="L341" t="str">
        <f>VLOOKUP(C341,Customers!$A$2:$F$1001,2,FALSE())</f>
        <v>Anthony Nguyen</v>
      </c>
      <c r="M341" t="str">
        <f>VLOOKUP(C341,Customers!$A$2:$F$1001,3,FALSE())</f>
        <v>South</v>
      </c>
      <c r="N341" t="str">
        <f>VLOOKUP(C341,Customers!$A$2:$F$1001,4,FALSE())</f>
        <v>Consumer</v>
      </c>
    </row>
    <row r="342" spans="1:14" x14ac:dyDescent="0.25">
      <c r="A342">
        <v>341</v>
      </c>
      <c r="B342" t="s">
        <v>1912</v>
      </c>
      <c r="C342" t="s">
        <v>677</v>
      </c>
      <c r="D342" t="s">
        <v>1814</v>
      </c>
      <c r="E342">
        <v>4</v>
      </c>
      <c r="F342">
        <v>50</v>
      </c>
      <c r="G342">
        <v>200</v>
      </c>
      <c r="H342" s="9">
        <v>0.05</v>
      </c>
      <c r="I342">
        <v>34.24</v>
      </c>
      <c r="J342" s="10">
        <f t="shared" si="10"/>
        <v>5</v>
      </c>
      <c r="K342" s="11">
        <f t="shared" si="11"/>
        <v>0.17120000000000002</v>
      </c>
      <c r="L342" t="str">
        <f>VLOOKUP(C342,Customers!$A$2:$F$1001,2,FALSE())</f>
        <v>Andrew Garcia</v>
      </c>
      <c r="M342" t="str">
        <f>VLOOKUP(C342,Customers!$A$2:$F$1001,3,FALSE())</f>
        <v>North</v>
      </c>
      <c r="N342" t="str">
        <f>VLOOKUP(C342,Customers!$A$2:$F$1001,4,FALSE())</f>
        <v>Consumer</v>
      </c>
    </row>
    <row r="343" spans="1:14" x14ac:dyDescent="0.25">
      <c r="A343">
        <v>342</v>
      </c>
      <c r="B343" t="s">
        <v>2022</v>
      </c>
      <c r="C343" t="s">
        <v>678</v>
      </c>
      <c r="D343" t="s">
        <v>1814</v>
      </c>
      <c r="E343">
        <v>4</v>
      </c>
      <c r="F343">
        <v>500</v>
      </c>
      <c r="G343">
        <v>2000</v>
      </c>
      <c r="H343" s="9">
        <v>0.15</v>
      </c>
      <c r="I343">
        <v>227.94</v>
      </c>
      <c r="J343" s="10">
        <f t="shared" si="10"/>
        <v>10</v>
      </c>
      <c r="K343" s="11">
        <f t="shared" si="11"/>
        <v>0.11397</v>
      </c>
      <c r="L343" t="str">
        <f>VLOOKUP(C343,Customers!$A$2:$F$1001,2,FALSE())</f>
        <v>Melissa Hill</v>
      </c>
      <c r="M343" t="str">
        <f>VLOOKUP(C343,Customers!$A$2:$F$1001,3,FALSE())</f>
        <v>West</v>
      </c>
      <c r="N343" t="str">
        <f>VLOOKUP(C343,Customers!$A$2:$F$1001,4,FALSE())</f>
        <v>Consumer</v>
      </c>
    </row>
    <row r="344" spans="1:14" x14ac:dyDescent="0.25">
      <c r="A344">
        <v>343</v>
      </c>
      <c r="B344" t="s">
        <v>2029</v>
      </c>
      <c r="C344" t="s">
        <v>680</v>
      </c>
      <c r="D344" t="s">
        <v>1816</v>
      </c>
      <c r="E344">
        <v>2</v>
      </c>
      <c r="F344">
        <v>25</v>
      </c>
      <c r="G344">
        <v>50</v>
      </c>
      <c r="H344" s="9">
        <v>0</v>
      </c>
      <c r="I344">
        <v>7.1</v>
      </c>
      <c r="J344" s="10">
        <f t="shared" si="10"/>
        <v>11</v>
      </c>
      <c r="K344" s="11">
        <f t="shared" si="11"/>
        <v>0.14199999999999999</v>
      </c>
      <c r="L344" t="str">
        <f>VLOOKUP(C344,Customers!$A$2:$F$1001,2,FALSE())</f>
        <v>David Allen</v>
      </c>
      <c r="M344" t="str">
        <f>VLOOKUP(C344,Customers!$A$2:$F$1001,3,FALSE())</f>
        <v>South</v>
      </c>
      <c r="N344" t="str">
        <f>VLOOKUP(C344,Customers!$A$2:$F$1001,4,FALSE())</f>
        <v>Corporate</v>
      </c>
    </row>
    <row r="345" spans="1:14" x14ac:dyDescent="0.25">
      <c r="A345">
        <v>344</v>
      </c>
      <c r="B345" t="s">
        <v>2033</v>
      </c>
      <c r="C345" t="s">
        <v>682</v>
      </c>
      <c r="D345" t="s">
        <v>1812</v>
      </c>
      <c r="E345">
        <v>1</v>
      </c>
      <c r="F345">
        <v>30</v>
      </c>
      <c r="G345">
        <v>30</v>
      </c>
      <c r="H345" s="9">
        <v>0</v>
      </c>
      <c r="I345">
        <v>10.11</v>
      </c>
      <c r="J345" s="10">
        <f t="shared" si="10"/>
        <v>1</v>
      </c>
      <c r="K345" s="11">
        <f t="shared" si="11"/>
        <v>0.33699999999999997</v>
      </c>
      <c r="L345" t="str">
        <f>VLOOKUP(C345,Customers!$A$2:$F$1001,2,FALSE())</f>
        <v>Christopher White</v>
      </c>
      <c r="M345" t="str">
        <f>VLOOKUP(C345,Customers!$A$2:$F$1001,3,FALSE())</f>
        <v>East</v>
      </c>
      <c r="N345" t="str">
        <f>VLOOKUP(C345,Customers!$A$2:$F$1001,4,FALSE())</f>
        <v>Consumer</v>
      </c>
    </row>
    <row r="346" spans="1:14" x14ac:dyDescent="0.25">
      <c r="A346">
        <v>345</v>
      </c>
      <c r="B346" t="s">
        <v>2034</v>
      </c>
      <c r="C346" t="s">
        <v>684</v>
      </c>
      <c r="D346" t="s">
        <v>1816</v>
      </c>
      <c r="E346">
        <v>1</v>
      </c>
      <c r="F346">
        <v>30</v>
      </c>
      <c r="G346">
        <v>30</v>
      </c>
      <c r="H346" s="9">
        <v>0.05</v>
      </c>
      <c r="I346">
        <v>3.13</v>
      </c>
      <c r="J346" s="10">
        <f t="shared" si="10"/>
        <v>11</v>
      </c>
      <c r="K346" s="11">
        <f t="shared" si="11"/>
        <v>0.10433333333333333</v>
      </c>
      <c r="L346" t="str">
        <f>VLOOKUP(C346,Customers!$A$2:$F$1001,2,FALSE())</f>
        <v>Daniel Young</v>
      </c>
      <c r="M346" t="str">
        <f>VLOOKUP(C346,Customers!$A$2:$F$1001,3,FALSE())</f>
        <v>West</v>
      </c>
      <c r="N346" t="str">
        <f>VLOOKUP(C346,Customers!$A$2:$F$1001,4,FALSE())</f>
        <v>Corporate</v>
      </c>
    </row>
    <row r="347" spans="1:14" x14ac:dyDescent="0.25">
      <c r="A347">
        <v>346</v>
      </c>
      <c r="B347" t="s">
        <v>2027</v>
      </c>
      <c r="C347" t="s">
        <v>686</v>
      </c>
      <c r="D347" t="s">
        <v>1814</v>
      </c>
      <c r="E347">
        <v>2</v>
      </c>
      <c r="F347">
        <v>500</v>
      </c>
      <c r="G347">
        <v>1000</v>
      </c>
      <c r="H347" s="9">
        <v>0.1</v>
      </c>
      <c r="I347">
        <v>74.900000000000006</v>
      </c>
      <c r="J347" s="10">
        <f t="shared" si="10"/>
        <v>2</v>
      </c>
      <c r="K347" s="11">
        <f t="shared" si="11"/>
        <v>7.4900000000000008E-2</v>
      </c>
      <c r="L347" t="str">
        <f>VLOOKUP(C347,Customers!$A$2:$F$1001,2,FALSE())</f>
        <v>Deborah Young</v>
      </c>
      <c r="M347" t="str">
        <f>VLOOKUP(C347,Customers!$A$2:$F$1001,3,FALSE())</f>
        <v>East</v>
      </c>
      <c r="N347" t="str">
        <f>VLOOKUP(C347,Customers!$A$2:$F$1001,4,FALSE())</f>
        <v>Consumer</v>
      </c>
    </row>
    <row r="348" spans="1:14" x14ac:dyDescent="0.25">
      <c r="A348">
        <v>347</v>
      </c>
      <c r="B348" t="s">
        <v>1839</v>
      </c>
      <c r="C348" t="s">
        <v>687</v>
      </c>
      <c r="D348" t="s">
        <v>1816</v>
      </c>
      <c r="E348">
        <v>1</v>
      </c>
      <c r="F348">
        <v>25</v>
      </c>
      <c r="G348">
        <v>25</v>
      </c>
      <c r="H348" s="9">
        <v>0.15</v>
      </c>
      <c r="I348">
        <v>-1.25</v>
      </c>
      <c r="J348" s="10">
        <f t="shared" si="10"/>
        <v>8</v>
      </c>
      <c r="K348" s="11">
        <f t="shared" si="11"/>
        <v>-0.05</v>
      </c>
      <c r="L348" t="str">
        <f>VLOOKUP(C348,Customers!$A$2:$F$1001,2,FALSE())</f>
        <v>George Nguyen</v>
      </c>
      <c r="M348" t="str">
        <f>VLOOKUP(C348,Customers!$A$2:$F$1001,3,FALSE())</f>
        <v>South</v>
      </c>
      <c r="N348" t="str">
        <f>VLOOKUP(C348,Customers!$A$2:$F$1001,4,FALSE())</f>
        <v>Home Office</v>
      </c>
    </row>
    <row r="349" spans="1:14" x14ac:dyDescent="0.25">
      <c r="A349">
        <v>348</v>
      </c>
      <c r="B349" t="s">
        <v>2035</v>
      </c>
      <c r="C349" t="s">
        <v>689</v>
      </c>
      <c r="D349" t="s">
        <v>1816</v>
      </c>
      <c r="E349">
        <v>2</v>
      </c>
      <c r="F349">
        <v>300</v>
      </c>
      <c r="G349">
        <v>600</v>
      </c>
      <c r="H349" s="9">
        <v>0.1</v>
      </c>
      <c r="I349">
        <v>35.659999999999997</v>
      </c>
      <c r="J349" s="10">
        <f t="shared" si="10"/>
        <v>12</v>
      </c>
      <c r="K349" s="11">
        <f t="shared" si="11"/>
        <v>5.9433333333333331E-2</v>
      </c>
      <c r="L349" t="str">
        <f>VLOOKUP(C349,Customers!$A$2:$F$1001,2,FALSE())</f>
        <v>John Hernandez</v>
      </c>
      <c r="M349" t="str">
        <f>VLOOKUP(C349,Customers!$A$2:$F$1001,3,FALSE())</f>
        <v>South</v>
      </c>
      <c r="N349" t="str">
        <f>VLOOKUP(C349,Customers!$A$2:$F$1001,4,FALSE())</f>
        <v>Home Office</v>
      </c>
    </row>
    <row r="350" spans="1:14" x14ac:dyDescent="0.25">
      <c r="A350">
        <v>349</v>
      </c>
      <c r="B350" t="s">
        <v>1917</v>
      </c>
      <c r="C350" t="s">
        <v>691</v>
      </c>
      <c r="D350" t="s">
        <v>1812</v>
      </c>
      <c r="E350">
        <v>1</v>
      </c>
      <c r="F350">
        <v>50</v>
      </c>
      <c r="G350">
        <v>50</v>
      </c>
      <c r="H350" s="9">
        <v>0.15</v>
      </c>
      <c r="I350">
        <v>5.89</v>
      </c>
      <c r="J350" s="10">
        <f t="shared" si="10"/>
        <v>10</v>
      </c>
      <c r="K350" s="11">
        <f t="shared" si="11"/>
        <v>0.11779999999999999</v>
      </c>
      <c r="L350" t="str">
        <f>VLOOKUP(C350,Customers!$A$2:$F$1001,2,FALSE())</f>
        <v>Andrew White</v>
      </c>
      <c r="M350" t="str">
        <f>VLOOKUP(C350,Customers!$A$2:$F$1001,3,FALSE())</f>
        <v>South</v>
      </c>
      <c r="N350" t="str">
        <f>VLOOKUP(C350,Customers!$A$2:$F$1001,4,FALSE())</f>
        <v>Consumer</v>
      </c>
    </row>
    <row r="351" spans="1:14" x14ac:dyDescent="0.25">
      <c r="A351">
        <v>350</v>
      </c>
      <c r="B351" t="s">
        <v>2036</v>
      </c>
      <c r="C351" t="s">
        <v>693</v>
      </c>
      <c r="D351" t="s">
        <v>1812</v>
      </c>
      <c r="E351">
        <v>3</v>
      </c>
      <c r="F351">
        <v>25</v>
      </c>
      <c r="G351">
        <v>75</v>
      </c>
      <c r="H351" s="9">
        <v>0.05</v>
      </c>
      <c r="I351">
        <v>24.26</v>
      </c>
      <c r="J351" s="10">
        <f t="shared" si="10"/>
        <v>10</v>
      </c>
      <c r="K351" s="11">
        <f t="shared" si="11"/>
        <v>0.32346666666666668</v>
      </c>
      <c r="L351" t="str">
        <f>VLOOKUP(C351,Customers!$A$2:$F$1001,2,FALSE())</f>
        <v>Robert Brown</v>
      </c>
      <c r="M351" t="str">
        <f>VLOOKUP(C351,Customers!$A$2:$F$1001,3,FALSE())</f>
        <v>North</v>
      </c>
      <c r="N351" t="str">
        <f>VLOOKUP(C351,Customers!$A$2:$F$1001,4,FALSE())</f>
        <v>Consumer</v>
      </c>
    </row>
    <row r="352" spans="1:14" x14ac:dyDescent="0.25">
      <c r="A352">
        <v>351</v>
      </c>
      <c r="B352" t="s">
        <v>2037</v>
      </c>
      <c r="C352" t="s">
        <v>695</v>
      </c>
      <c r="D352" t="s">
        <v>1814</v>
      </c>
      <c r="E352">
        <v>3</v>
      </c>
      <c r="F352">
        <v>30</v>
      </c>
      <c r="G352">
        <v>90</v>
      </c>
      <c r="H352" s="9">
        <v>0</v>
      </c>
      <c r="I352">
        <v>26.58</v>
      </c>
      <c r="J352" s="10">
        <f t="shared" si="10"/>
        <v>9</v>
      </c>
      <c r="K352" s="11">
        <f t="shared" si="11"/>
        <v>0.29533333333333334</v>
      </c>
      <c r="L352" t="str">
        <f>VLOOKUP(C352,Customers!$A$2:$F$1001,2,FALSE())</f>
        <v>Anthony Harris</v>
      </c>
      <c r="M352" t="str">
        <f>VLOOKUP(C352,Customers!$A$2:$F$1001,3,FALSE())</f>
        <v>West</v>
      </c>
      <c r="N352" t="str">
        <f>VLOOKUP(C352,Customers!$A$2:$F$1001,4,FALSE())</f>
        <v>Consumer</v>
      </c>
    </row>
    <row r="353" spans="1:14" x14ac:dyDescent="0.25">
      <c r="A353">
        <v>352</v>
      </c>
      <c r="B353" t="s">
        <v>1900</v>
      </c>
      <c r="C353" t="s">
        <v>697</v>
      </c>
      <c r="D353" t="s">
        <v>1816</v>
      </c>
      <c r="E353">
        <v>2</v>
      </c>
      <c r="F353">
        <v>500</v>
      </c>
      <c r="G353">
        <v>1000</v>
      </c>
      <c r="H353" s="9">
        <v>0</v>
      </c>
      <c r="I353">
        <v>138.91999999999999</v>
      </c>
      <c r="J353" s="10">
        <f t="shared" si="10"/>
        <v>6</v>
      </c>
      <c r="K353" s="11">
        <f t="shared" si="11"/>
        <v>0.13891999999999999</v>
      </c>
      <c r="L353" t="str">
        <f>VLOOKUP(C353,Customers!$A$2:$F$1001,2,FALSE())</f>
        <v>David Miller</v>
      </c>
      <c r="M353" t="str">
        <f>VLOOKUP(C353,Customers!$A$2:$F$1001,3,FALSE())</f>
        <v>West</v>
      </c>
      <c r="N353" t="str">
        <f>VLOOKUP(C353,Customers!$A$2:$F$1001,4,FALSE())</f>
        <v>Home Office</v>
      </c>
    </row>
    <row r="354" spans="1:14" x14ac:dyDescent="0.25">
      <c r="A354">
        <v>353</v>
      </c>
      <c r="B354" t="s">
        <v>2038</v>
      </c>
      <c r="C354" t="s">
        <v>699</v>
      </c>
      <c r="D354" t="s">
        <v>1816</v>
      </c>
      <c r="E354">
        <v>1</v>
      </c>
      <c r="F354">
        <v>500</v>
      </c>
      <c r="G354">
        <v>500</v>
      </c>
      <c r="H354" s="9">
        <v>0</v>
      </c>
      <c r="I354">
        <v>79.38</v>
      </c>
      <c r="J354" s="10">
        <f t="shared" si="10"/>
        <v>5</v>
      </c>
      <c r="K354" s="11">
        <f t="shared" si="11"/>
        <v>0.15875999999999998</v>
      </c>
      <c r="L354" t="str">
        <f>VLOOKUP(C354,Customers!$A$2:$F$1001,2,FALSE())</f>
        <v>Michael Thompson</v>
      </c>
      <c r="M354" t="str">
        <f>VLOOKUP(C354,Customers!$A$2:$F$1001,3,FALSE())</f>
        <v>South</v>
      </c>
      <c r="N354" t="str">
        <f>VLOOKUP(C354,Customers!$A$2:$F$1001,4,FALSE())</f>
        <v>Consumer</v>
      </c>
    </row>
    <row r="355" spans="1:14" x14ac:dyDescent="0.25">
      <c r="A355">
        <v>354</v>
      </c>
      <c r="B355" t="s">
        <v>2039</v>
      </c>
      <c r="C355" t="s">
        <v>700</v>
      </c>
      <c r="D355" t="s">
        <v>1812</v>
      </c>
      <c r="E355">
        <v>4</v>
      </c>
      <c r="F355">
        <v>50</v>
      </c>
      <c r="G355">
        <v>200</v>
      </c>
      <c r="H355" s="9">
        <v>0.05</v>
      </c>
      <c r="I355">
        <v>64.709999999999994</v>
      </c>
      <c r="J355" s="10">
        <f t="shared" si="10"/>
        <v>4</v>
      </c>
      <c r="K355" s="11">
        <f t="shared" si="11"/>
        <v>0.32354999999999995</v>
      </c>
      <c r="L355" t="str">
        <f>VLOOKUP(C355,Customers!$A$2:$F$1001,2,FALSE())</f>
        <v>James Thompson</v>
      </c>
      <c r="M355" t="str">
        <f>VLOOKUP(C355,Customers!$A$2:$F$1001,3,FALSE())</f>
        <v>South</v>
      </c>
      <c r="N355" t="str">
        <f>VLOOKUP(C355,Customers!$A$2:$F$1001,4,FALSE())</f>
        <v>Corporate</v>
      </c>
    </row>
    <row r="356" spans="1:14" x14ac:dyDescent="0.25">
      <c r="A356">
        <v>355</v>
      </c>
      <c r="B356" t="s">
        <v>1988</v>
      </c>
      <c r="C356" t="s">
        <v>702</v>
      </c>
      <c r="D356" t="s">
        <v>1816</v>
      </c>
      <c r="E356">
        <v>1</v>
      </c>
      <c r="F356">
        <v>500</v>
      </c>
      <c r="G356">
        <v>500</v>
      </c>
      <c r="H356" s="9">
        <v>0.05</v>
      </c>
      <c r="I356">
        <v>38</v>
      </c>
      <c r="J356" s="10">
        <f t="shared" si="10"/>
        <v>12</v>
      </c>
      <c r="K356" s="11">
        <f t="shared" si="11"/>
        <v>7.5999999999999998E-2</v>
      </c>
      <c r="L356" t="str">
        <f>VLOOKUP(C356,Customers!$A$2:$F$1001,2,FALSE())</f>
        <v>Lisa Jackson</v>
      </c>
      <c r="M356" t="str">
        <f>VLOOKUP(C356,Customers!$A$2:$F$1001,3,FALSE())</f>
        <v>West</v>
      </c>
      <c r="N356" t="str">
        <f>VLOOKUP(C356,Customers!$A$2:$F$1001,4,FALSE())</f>
        <v>Consumer</v>
      </c>
    </row>
    <row r="357" spans="1:14" x14ac:dyDescent="0.25">
      <c r="A357">
        <v>356</v>
      </c>
      <c r="B357" t="s">
        <v>2024</v>
      </c>
      <c r="C357" t="s">
        <v>704</v>
      </c>
      <c r="D357" t="s">
        <v>1816</v>
      </c>
      <c r="E357">
        <v>3</v>
      </c>
      <c r="F357">
        <v>500</v>
      </c>
      <c r="G357">
        <v>1500</v>
      </c>
      <c r="H357" s="9">
        <v>0.05</v>
      </c>
      <c r="I357">
        <v>174.05</v>
      </c>
      <c r="J357" s="10">
        <f t="shared" si="10"/>
        <v>6</v>
      </c>
      <c r="K357" s="11">
        <f t="shared" si="11"/>
        <v>0.11603333333333334</v>
      </c>
      <c r="L357" t="str">
        <f>VLOOKUP(C357,Customers!$A$2:$F$1001,2,FALSE())</f>
        <v>Kimberly Lee</v>
      </c>
      <c r="M357" t="str">
        <f>VLOOKUP(C357,Customers!$A$2:$F$1001,3,FALSE())</f>
        <v>North</v>
      </c>
      <c r="N357" t="str">
        <f>VLOOKUP(C357,Customers!$A$2:$F$1001,4,FALSE())</f>
        <v>Corporate</v>
      </c>
    </row>
    <row r="358" spans="1:14" x14ac:dyDescent="0.25">
      <c r="A358">
        <v>357</v>
      </c>
      <c r="B358" t="s">
        <v>1957</v>
      </c>
      <c r="C358" t="s">
        <v>706</v>
      </c>
      <c r="D358" t="s">
        <v>1816</v>
      </c>
      <c r="E358">
        <v>3</v>
      </c>
      <c r="F358">
        <v>25</v>
      </c>
      <c r="G358">
        <v>75</v>
      </c>
      <c r="H358" s="9">
        <v>0.1</v>
      </c>
      <c r="I358">
        <v>0.74</v>
      </c>
      <c r="J358" s="10">
        <f t="shared" si="10"/>
        <v>5</v>
      </c>
      <c r="K358" s="11">
        <f t="shared" si="11"/>
        <v>9.8666666666666659E-3</v>
      </c>
      <c r="L358" t="str">
        <f>VLOOKUP(C358,Customers!$A$2:$F$1001,2,FALSE())</f>
        <v>Andrew Walker</v>
      </c>
      <c r="M358" t="str">
        <f>VLOOKUP(C358,Customers!$A$2:$F$1001,3,FALSE())</f>
        <v>East</v>
      </c>
      <c r="N358" t="str">
        <f>VLOOKUP(C358,Customers!$A$2:$F$1001,4,FALSE())</f>
        <v>Consumer</v>
      </c>
    </row>
    <row r="359" spans="1:14" x14ac:dyDescent="0.25">
      <c r="A359">
        <v>358</v>
      </c>
      <c r="B359" t="s">
        <v>1856</v>
      </c>
      <c r="C359" t="s">
        <v>707</v>
      </c>
      <c r="D359" t="s">
        <v>1812</v>
      </c>
      <c r="E359">
        <v>1</v>
      </c>
      <c r="F359">
        <v>300</v>
      </c>
      <c r="G359">
        <v>300</v>
      </c>
      <c r="H359" s="9">
        <v>0.05</v>
      </c>
      <c r="I359">
        <v>82.7</v>
      </c>
      <c r="J359" s="10">
        <f t="shared" si="10"/>
        <v>5</v>
      </c>
      <c r="K359" s="11">
        <f t="shared" si="11"/>
        <v>0.27566666666666667</v>
      </c>
      <c r="L359" t="str">
        <f>VLOOKUP(C359,Customers!$A$2:$F$1001,2,FALSE())</f>
        <v>George Young</v>
      </c>
      <c r="M359" t="str">
        <f>VLOOKUP(C359,Customers!$A$2:$F$1001,3,FALSE())</f>
        <v>South</v>
      </c>
      <c r="N359" t="str">
        <f>VLOOKUP(C359,Customers!$A$2:$F$1001,4,FALSE())</f>
        <v>Corporate</v>
      </c>
    </row>
    <row r="360" spans="1:14" x14ac:dyDescent="0.25">
      <c r="A360">
        <v>359</v>
      </c>
      <c r="B360" t="s">
        <v>1908</v>
      </c>
      <c r="C360" t="s">
        <v>709</v>
      </c>
      <c r="D360" t="s">
        <v>1814</v>
      </c>
      <c r="E360">
        <v>1</v>
      </c>
      <c r="F360">
        <v>50</v>
      </c>
      <c r="G360">
        <v>50</v>
      </c>
      <c r="H360" s="9">
        <v>0.1</v>
      </c>
      <c r="I360">
        <v>5.3</v>
      </c>
      <c r="J360" s="10">
        <f t="shared" si="10"/>
        <v>7</v>
      </c>
      <c r="K360" s="11">
        <f t="shared" si="11"/>
        <v>0.106</v>
      </c>
      <c r="L360" t="str">
        <f>VLOOKUP(C360,Customers!$A$2:$F$1001,2,FALSE())</f>
        <v>Margaret Martin</v>
      </c>
      <c r="M360" t="str">
        <f>VLOOKUP(C360,Customers!$A$2:$F$1001,3,FALSE())</f>
        <v>East</v>
      </c>
      <c r="N360" t="str">
        <f>VLOOKUP(C360,Customers!$A$2:$F$1001,4,FALSE())</f>
        <v>Home Office</v>
      </c>
    </row>
    <row r="361" spans="1:14" x14ac:dyDescent="0.25">
      <c r="A361">
        <v>360</v>
      </c>
      <c r="B361" t="s">
        <v>1990</v>
      </c>
      <c r="C361" t="s">
        <v>711</v>
      </c>
      <c r="D361" t="s">
        <v>1814</v>
      </c>
      <c r="E361">
        <v>4</v>
      </c>
      <c r="F361">
        <v>25</v>
      </c>
      <c r="G361">
        <v>100</v>
      </c>
      <c r="H361" s="9">
        <v>0.1</v>
      </c>
      <c r="I361">
        <v>14.03</v>
      </c>
      <c r="J361" s="10">
        <f t="shared" si="10"/>
        <v>3</v>
      </c>
      <c r="K361" s="11">
        <f t="shared" si="11"/>
        <v>0.14029999999999998</v>
      </c>
      <c r="L361" t="str">
        <f>VLOOKUP(C361,Customers!$A$2:$F$1001,2,FALSE())</f>
        <v>Barbara White</v>
      </c>
      <c r="M361" t="str">
        <f>VLOOKUP(C361,Customers!$A$2:$F$1001,3,FALSE())</f>
        <v>North</v>
      </c>
      <c r="N361" t="str">
        <f>VLOOKUP(C361,Customers!$A$2:$F$1001,4,FALSE())</f>
        <v>Consumer</v>
      </c>
    </row>
    <row r="362" spans="1:14" x14ac:dyDescent="0.25">
      <c r="A362">
        <v>361</v>
      </c>
      <c r="B362" t="s">
        <v>1884</v>
      </c>
      <c r="C362" t="s">
        <v>713</v>
      </c>
      <c r="D362" t="s">
        <v>1816</v>
      </c>
      <c r="E362">
        <v>4</v>
      </c>
      <c r="F362">
        <v>300</v>
      </c>
      <c r="G362">
        <v>1200</v>
      </c>
      <c r="H362" s="9">
        <v>0.05</v>
      </c>
      <c r="I362">
        <v>149.69</v>
      </c>
      <c r="J362" s="10">
        <f t="shared" si="10"/>
        <v>12</v>
      </c>
      <c r="K362" s="11">
        <f t="shared" si="11"/>
        <v>0.12474166666666667</v>
      </c>
      <c r="L362" t="str">
        <f>VLOOKUP(C362,Customers!$A$2:$F$1001,2,FALSE())</f>
        <v>Michael Nguyen</v>
      </c>
      <c r="M362" t="str">
        <f>VLOOKUP(C362,Customers!$A$2:$F$1001,3,FALSE())</f>
        <v>East</v>
      </c>
      <c r="N362" t="str">
        <f>VLOOKUP(C362,Customers!$A$2:$F$1001,4,FALSE())</f>
        <v>Home Office</v>
      </c>
    </row>
    <row r="363" spans="1:14" x14ac:dyDescent="0.25">
      <c r="A363">
        <v>362</v>
      </c>
      <c r="B363" t="s">
        <v>2002</v>
      </c>
      <c r="C363" t="s">
        <v>715</v>
      </c>
      <c r="D363" t="s">
        <v>1814</v>
      </c>
      <c r="E363">
        <v>1</v>
      </c>
      <c r="F363">
        <v>25</v>
      </c>
      <c r="G363">
        <v>25</v>
      </c>
      <c r="H363" s="9">
        <v>0.05</v>
      </c>
      <c r="I363">
        <v>4.6100000000000003</v>
      </c>
      <c r="J363" s="10">
        <f t="shared" si="10"/>
        <v>11</v>
      </c>
      <c r="K363" s="11">
        <f t="shared" si="11"/>
        <v>0.18440000000000001</v>
      </c>
      <c r="L363" t="str">
        <f>VLOOKUP(C363,Customers!$A$2:$F$1001,2,FALSE())</f>
        <v>Kevin Jones</v>
      </c>
      <c r="M363" t="str">
        <f>VLOOKUP(C363,Customers!$A$2:$F$1001,3,FALSE())</f>
        <v>South</v>
      </c>
      <c r="N363" t="str">
        <f>VLOOKUP(C363,Customers!$A$2:$F$1001,4,FALSE())</f>
        <v>Consumer</v>
      </c>
    </row>
    <row r="364" spans="1:14" x14ac:dyDescent="0.25">
      <c r="A364">
        <v>363</v>
      </c>
      <c r="B364" t="s">
        <v>2040</v>
      </c>
      <c r="C364" t="s">
        <v>716</v>
      </c>
      <c r="D364" t="s">
        <v>1812</v>
      </c>
      <c r="E364">
        <v>1</v>
      </c>
      <c r="F364">
        <v>25</v>
      </c>
      <c r="G364">
        <v>25</v>
      </c>
      <c r="H364" s="9">
        <v>0.1</v>
      </c>
      <c r="I364">
        <v>4.8</v>
      </c>
      <c r="J364" s="10">
        <f t="shared" si="10"/>
        <v>6</v>
      </c>
      <c r="K364" s="11">
        <f t="shared" si="11"/>
        <v>0.192</v>
      </c>
      <c r="L364" t="str">
        <f>VLOOKUP(C364,Customers!$A$2:$F$1001,2,FALSE())</f>
        <v>Michelle Jones</v>
      </c>
      <c r="M364" t="str">
        <f>VLOOKUP(C364,Customers!$A$2:$F$1001,3,FALSE())</f>
        <v>East</v>
      </c>
      <c r="N364" t="str">
        <f>VLOOKUP(C364,Customers!$A$2:$F$1001,4,FALSE())</f>
        <v>Consumer</v>
      </c>
    </row>
    <row r="365" spans="1:14" x14ac:dyDescent="0.25">
      <c r="A365">
        <v>364</v>
      </c>
      <c r="B365" t="s">
        <v>1910</v>
      </c>
      <c r="C365" t="s">
        <v>718</v>
      </c>
      <c r="D365" t="s">
        <v>1812</v>
      </c>
      <c r="E365">
        <v>1</v>
      </c>
      <c r="F365">
        <v>500</v>
      </c>
      <c r="G365">
        <v>500</v>
      </c>
      <c r="H365" s="9">
        <v>0.1</v>
      </c>
      <c r="I365">
        <v>98.76</v>
      </c>
      <c r="J365" s="10">
        <f t="shared" si="10"/>
        <v>8</v>
      </c>
      <c r="K365" s="11">
        <f t="shared" si="11"/>
        <v>0.19752</v>
      </c>
      <c r="L365" t="str">
        <f>VLOOKUP(C365,Customers!$A$2:$F$1001,2,FALSE())</f>
        <v>Andrew Brown</v>
      </c>
      <c r="M365" t="str">
        <f>VLOOKUP(C365,Customers!$A$2:$F$1001,3,FALSE())</f>
        <v>North</v>
      </c>
      <c r="N365" t="str">
        <f>VLOOKUP(C365,Customers!$A$2:$F$1001,4,FALSE())</f>
        <v>Home Office</v>
      </c>
    </row>
    <row r="366" spans="1:14" x14ac:dyDescent="0.25">
      <c r="A366">
        <v>365</v>
      </c>
      <c r="B366" t="s">
        <v>1900</v>
      </c>
      <c r="C366" t="s">
        <v>720</v>
      </c>
      <c r="D366" t="s">
        <v>1814</v>
      </c>
      <c r="E366">
        <v>1</v>
      </c>
      <c r="F366">
        <v>300</v>
      </c>
      <c r="G366">
        <v>300</v>
      </c>
      <c r="H366" s="9">
        <v>0.05</v>
      </c>
      <c r="I366">
        <v>60.55</v>
      </c>
      <c r="J366" s="10">
        <f t="shared" si="10"/>
        <v>6</v>
      </c>
      <c r="K366" s="11">
        <f t="shared" si="11"/>
        <v>0.20183333333333334</v>
      </c>
      <c r="L366" t="str">
        <f>VLOOKUP(C366,Customers!$A$2:$F$1001,2,FALSE())</f>
        <v>Matthew Clark</v>
      </c>
      <c r="M366" t="str">
        <f>VLOOKUP(C366,Customers!$A$2:$F$1001,3,FALSE())</f>
        <v>South</v>
      </c>
      <c r="N366" t="str">
        <f>VLOOKUP(C366,Customers!$A$2:$F$1001,4,FALSE())</f>
        <v>Corporate</v>
      </c>
    </row>
    <row r="367" spans="1:14" x14ac:dyDescent="0.25">
      <c r="A367">
        <v>366</v>
      </c>
      <c r="B367" t="s">
        <v>2041</v>
      </c>
      <c r="C367" t="s">
        <v>721</v>
      </c>
      <c r="D367" t="s">
        <v>1814</v>
      </c>
      <c r="E367">
        <v>2</v>
      </c>
      <c r="F367">
        <v>50</v>
      </c>
      <c r="G367">
        <v>100</v>
      </c>
      <c r="H367" s="9">
        <v>0.05</v>
      </c>
      <c r="I367">
        <v>24.53</v>
      </c>
      <c r="J367" s="10">
        <f t="shared" si="10"/>
        <v>2</v>
      </c>
      <c r="K367" s="11">
        <f t="shared" si="11"/>
        <v>0.24530000000000002</v>
      </c>
      <c r="L367" t="str">
        <f>VLOOKUP(C367,Customers!$A$2:$F$1001,2,FALSE())</f>
        <v>Andrew Taylor</v>
      </c>
      <c r="M367" t="str">
        <f>VLOOKUP(C367,Customers!$A$2:$F$1001,3,FALSE())</f>
        <v>East</v>
      </c>
      <c r="N367" t="str">
        <f>VLOOKUP(C367,Customers!$A$2:$F$1001,4,FALSE())</f>
        <v>Corporate</v>
      </c>
    </row>
    <row r="368" spans="1:14" x14ac:dyDescent="0.25">
      <c r="A368">
        <v>367</v>
      </c>
      <c r="B368" t="s">
        <v>2042</v>
      </c>
      <c r="C368" t="s">
        <v>723</v>
      </c>
      <c r="D368" t="s">
        <v>1816</v>
      </c>
      <c r="E368">
        <v>1</v>
      </c>
      <c r="F368">
        <v>50</v>
      </c>
      <c r="G368">
        <v>50</v>
      </c>
      <c r="H368" s="9">
        <v>0.1</v>
      </c>
      <c r="I368">
        <v>2.09</v>
      </c>
      <c r="J368" s="10">
        <f t="shared" si="10"/>
        <v>1</v>
      </c>
      <c r="K368" s="11">
        <f t="shared" si="11"/>
        <v>4.1799999999999997E-2</v>
      </c>
      <c r="L368" t="str">
        <f>VLOOKUP(C368,Customers!$A$2:$F$1001,2,FALSE())</f>
        <v>George Walker</v>
      </c>
      <c r="M368" t="str">
        <f>VLOOKUP(C368,Customers!$A$2:$F$1001,3,FALSE())</f>
        <v>North</v>
      </c>
      <c r="N368" t="str">
        <f>VLOOKUP(C368,Customers!$A$2:$F$1001,4,FALSE())</f>
        <v>Consumer</v>
      </c>
    </row>
    <row r="369" spans="1:14" x14ac:dyDescent="0.25">
      <c r="A369">
        <v>368</v>
      </c>
      <c r="B369" t="s">
        <v>1910</v>
      </c>
      <c r="C369" t="s">
        <v>724</v>
      </c>
      <c r="D369" t="s">
        <v>1814</v>
      </c>
      <c r="E369">
        <v>4</v>
      </c>
      <c r="F369">
        <v>300</v>
      </c>
      <c r="G369">
        <v>1200</v>
      </c>
      <c r="H369" s="9">
        <v>0.1</v>
      </c>
      <c r="I369">
        <v>142.07</v>
      </c>
      <c r="J369" s="10">
        <f t="shared" si="10"/>
        <v>8</v>
      </c>
      <c r="K369" s="11">
        <f t="shared" si="11"/>
        <v>0.11839166666666666</v>
      </c>
      <c r="L369" t="str">
        <f>VLOOKUP(C369,Customers!$A$2:$F$1001,2,FALSE())</f>
        <v>William Clark</v>
      </c>
      <c r="M369" t="str">
        <f>VLOOKUP(C369,Customers!$A$2:$F$1001,3,FALSE())</f>
        <v>North</v>
      </c>
      <c r="N369" t="str">
        <f>VLOOKUP(C369,Customers!$A$2:$F$1001,4,FALSE())</f>
        <v>Consumer</v>
      </c>
    </row>
    <row r="370" spans="1:14" x14ac:dyDescent="0.25">
      <c r="A370">
        <v>369</v>
      </c>
      <c r="B370" t="s">
        <v>2043</v>
      </c>
      <c r="C370" t="s">
        <v>726</v>
      </c>
      <c r="D370" t="s">
        <v>1816</v>
      </c>
      <c r="E370">
        <v>3</v>
      </c>
      <c r="F370">
        <v>500</v>
      </c>
      <c r="G370">
        <v>1500</v>
      </c>
      <c r="H370" s="9">
        <v>0</v>
      </c>
      <c r="I370">
        <v>259.48</v>
      </c>
      <c r="J370" s="10">
        <f t="shared" si="10"/>
        <v>11</v>
      </c>
      <c r="K370" s="11">
        <f t="shared" si="11"/>
        <v>0.17298666666666668</v>
      </c>
      <c r="L370" t="str">
        <f>VLOOKUP(C370,Customers!$A$2:$F$1001,2,FALSE())</f>
        <v>Andrew Wilson</v>
      </c>
      <c r="M370" t="str">
        <f>VLOOKUP(C370,Customers!$A$2:$F$1001,3,FALSE())</f>
        <v>North</v>
      </c>
      <c r="N370" t="str">
        <f>VLOOKUP(C370,Customers!$A$2:$F$1001,4,FALSE())</f>
        <v>Consumer</v>
      </c>
    </row>
    <row r="371" spans="1:14" x14ac:dyDescent="0.25">
      <c r="A371">
        <v>370</v>
      </c>
      <c r="B371" t="s">
        <v>2044</v>
      </c>
      <c r="C371" t="s">
        <v>727</v>
      </c>
      <c r="D371" t="s">
        <v>1816</v>
      </c>
      <c r="E371">
        <v>2</v>
      </c>
      <c r="F371">
        <v>30</v>
      </c>
      <c r="G371">
        <v>60</v>
      </c>
      <c r="H371" s="9">
        <v>0.05</v>
      </c>
      <c r="I371">
        <v>4.97</v>
      </c>
      <c r="J371" s="10">
        <f t="shared" si="10"/>
        <v>10</v>
      </c>
      <c r="K371" s="11">
        <f t="shared" si="11"/>
        <v>8.2833333333333328E-2</v>
      </c>
      <c r="L371" t="str">
        <f>VLOOKUP(C371,Customers!$A$2:$F$1001,2,FALSE())</f>
        <v>Andrew Scott</v>
      </c>
      <c r="M371" t="str">
        <f>VLOOKUP(C371,Customers!$A$2:$F$1001,3,FALSE())</f>
        <v>South</v>
      </c>
      <c r="N371" t="str">
        <f>VLOOKUP(C371,Customers!$A$2:$F$1001,4,FALSE())</f>
        <v>Corporate</v>
      </c>
    </row>
    <row r="372" spans="1:14" x14ac:dyDescent="0.25">
      <c r="A372">
        <v>371</v>
      </c>
      <c r="B372" t="s">
        <v>1876</v>
      </c>
      <c r="C372" t="s">
        <v>728</v>
      </c>
      <c r="D372" t="s">
        <v>1812</v>
      </c>
      <c r="E372">
        <v>1</v>
      </c>
      <c r="F372">
        <v>25</v>
      </c>
      <c r="G372">
        <v>25</v>
      </c>
      <c r="H372" s="9">
        <v>0.2</v>
      </c>
      <c r="I372">
        <v>2.4700000000000002</v>
      </c>
      <c r="J372" s="10">
        <f t="shared" si="10"/>
        <v>2</v>
      </c>
      <c r="K372" s="11">
        <f t="shared" si="11"/>
        <v>9.8800000000000013E-2</v>
      </c>
      <c r="L372" t="str">
        <f>VLOOKUP(C372,Customers!$A$2:$F$1001,2,FALSE())</f>
        <v>Kenneth Walker</v>
      </c>
      <c r="M372" t="str">
        <f>VLOOKUP(C372,Customers!$A$2:$F$1001,3,FALSE())</f>
        <v>North</v>
      </c>
      <c r="N372" t="str">
        <f>VLOOKUP(C372,Customers!$A$2:$F$1001,4,FALSE())</f>
        <v>Consumer</v>
      </c>
    </row>
    <row r="373" spans="1:14" x14ac:dyDescent="0.25">
      <c r="A373">
        <v>372</v>
      </c>
      <c r="B373" t="s">
        <v>2041</v>
      </c>
      <c r="C373" t="s">
        <v>730</v>
      </c>
      <c r="D373" t="s">
        <v>1812</v>
      </c>
      <c r="E373">
        <v>3</v>
      </c>
      <c r="F373">
        <v>500</v>
      </c>
      <c r="G373">
        <v>1500</v>
      </c>
      <c r="H373" s="9">
        <v>0</v>
      </c>
      <c r="I373">
        <v>481.87</v>
      </c>
      <c r="J373" s="10">
        <f t="shared" si="10"/>
        <v>2</v>
      </c>
      <c r="K373" s="11">
        <f t="shared" si="11"/>
        <v>0.32124666666666668</v>
      </c>
      <c r="L373" t="str">
        <f>VLOOKUP(C373,Customers!$A$2:$F$1001,2,FALSE())</f>
        <v>Ashley Hernandez</v>
      </c>
      <c r="M373" t="str">
        <f>VLOOKUP(C373,Customers!$A$2:$F$1001,3,FALSE())</f>
        <v>West</v>
      </c>
      <c r="N373" t="str">
        <f>VLOOKUP(C373,Customers!$A$2:$F$1001,4,FALSE())</f>
        <v>Consumer</v>
      </c>
    </row>
    <row r="374" spans="1:14" x14ac:dyDescent="0.25">
      <c r="A374">
        <v>373</v>
      </c>
      <c r="B374" t="s">
        <v>1913</v>
      </c>
      <c r="C374" t="s">
        <v>732</v>
      </c>
      <c r="D374" t="s">
        <v>1812</v>
      </c>
      <c r="E374">
        <v>2</v>
      </c>
      <c r="F374">
        <v>300</v>
      </c>
      <c r="G374">
        <v>600</v>
      </c>
      <c r="H374" s="9">
        <v>0.15</v>
      </c>
      <c r="I374">
        <v>127.35</v>
      </c>
      <c r="J374" s="10">
        <f t="shared" si="10"/>
        <v>10</v>
      </c>
      <c r="K374" s="11">
        <f t="shared" si="11"/>
        <v>0.21224999999999999</v>
      </c>
      <c r="L374" t="str">
        <f>VLOOKUP(C374,Customers!$A$2:$F$1001,2,FALSE())</f>
        <v>Michelle Anderson</v>
      </c>
      <c r="M374" t="str">
        <f>VLOOKUP(C374,Customers!$A$2:$F$1001,3,FALSE())</f>
        <v>South</v>
      </c>
      <c r="N374" t="str">
        <f>VLOOKUP(C374,Customers!$A$2:$F$1001,4,FALSE())</f>
        <v>Consumer</v>
      </c>
    </row>
    <row r="375" spans="1:14" x14ac:dyDescent="0.25">
      <c r="A375">
        <v>374</v>
      </c>
      <c r="B375" t="s">
        <v>1989</v>
      </c>
      <c r="C375" t="s">
        <v>734</v>
      </c>
      <c r="D375" t="s">
        <v>1812</v>
      </c>
      <c r="E375">
        <v>3</v>
      </c>
      <c r="F375">
        <v>25</v>
      </c>
      <c r="G375">
        <v>75</v>
      </c>
      <c r="H375" s="9">
        <v>0</v>
      </c>
      <c r="I375">
        <v>20.54</v>
      </c>
      <c r="J375" s="10">
        <f t="shared" si="10"/>
        <v>4</v>
      </c>
      <c r="K375" s="11">
        <f t="shared" si="11"/>
        <v>0.27386666666666665</v>
      </c>
      <c r="L375" t="str">
        <f>VLOOKUP(C375,Customers!$A$2:$F$1001,2,FALSE())</f>
        <v>Anthony Gonzalez</v>
      </c>
      <c r="M375" t="str">
        <f>VLOOKUP(C375,Customers!$A$2:$F$1001,3,FALSE())</f>
        <v>West</v>
      </c>
      <c r="N375" t="str">
        <f>VLOOKUP(C375,Customers!$A$2:$F$1001,4,FALSE())</f>
        <v>Consumer</v>
      </c>
    </row>
    <row r="376" spans="1:14" x14ac:dyDescent="0.25">
      <c r="A376">
        <v>375</v>
      </c>
      <c r="B376" t="s">
        <v>1943</v>
      </c>
      <c r="C376" t="s">
        <v>736</v>
      </c>
      <c r="D376" t="s">
        <v>1814</v>
      </c>
      <c r="E376">
        <v>1</v>
      </c>
      <c r="F376">
        <v>50</v>
      </c>
      <c r="G376">
        <v>50</v>
      </c>
      <c r="H376" s="9">
        <v>0.05</v>
      </c>
      <c r="I376">
        <v>10.7</v>
      </c>
      <c r="J376" s="10">
        <f t="shared" si="10"/>
        <v>9</v>
      </c>
      <c r="K376" s="11">
        <f t="shared" si="11"/>
        <v>0.214</v>
      </c>
      <c r="L376" t="str">
        <f>VLOOKUP(C376,Customers!$A$2:$F$1001,2,FALSE())</f>
        <v>Jessica Miller</v>
      </c>
      <c r="M376" t="str">
        <f>VLOOKUP(C376,Customers!$A$2:$F$1001,3,FALSE())</f>
        <v>West</v>
      </c>
      <c r="N376" t="str">
        <f>VLOOKUP(C376,Customers!$A$2:$F$1001,4,FALSE())</f>
        <v>Consumer</v>
      </c>
    </row>
    <row r="377" spans="1:14" x14ac:dyDescent="0.25">
      <c r="A377">
        <v>376</v>
      </c>
      <c r="B377" t="s">
        <v>1856</v>
      </c>
      <c r="C377" t="s">
        <v>738</v>
      </c>
      <c r="D377" t="s">
        <v>1812</v>
      </c>
      <c r="E377">
        <v>1</v>
      </c>
      <c r="F377">
        <v>30</v>
      </c>
      <c r="G377">
        <v>30</v>
      </c>
      <c r="H377" s="9">
        <v>0.05</v>
      </c>
      <c r="I377">
        <v>8.2799999999999994</v>
      </c>
      <c r="J377" s="10">
        <f t="shared" si="10"/>
        <v>5</v>
      </c>
      <c r="K377" s="11">
        <f t="shared" si="11"/>
        <v>0.27599999999999997</v>
      </c>
      <c r="L377" t="str">
        <f>VLOOKUP(C377,Customers!$A$2:$F$1001,2,FALSE())</f>
        <v>Edward Garcia</v>
      </c>
      <c r="M377" t="str">
        <f>VLOOKUP(C377,Customers!$A$2:$F$1001,3,FALSE())</f>
        <v>North</v>
      </c>
      <c r="N377" t="str">
        <f>VLOOKUP(C377,Customers!$A$2:$F$1001,4,FALSE())</f>
        <v>Consumer</v>
      </c>
    </row>
    <row r="378" spans="1:14" x14ac:dyDescent="0.25">
      <c r="A378">
        <v>377</v>
      </c>
      <c r="B378" t="s">
        <v>1990</v>
      </c>
      <c r="C378" t="s">
        <v>740</v>
      </c>
      <c r="D378" t="s">
        <v>1814</v>
      </c>
      <c r="E378">
        <v>4</v>
      </c>
      <c r="F378">
        <v>50</v>
      </c>
      <c r="G378">
        <v>200</v>
      </c>
      <c r="H378" s="9">
        <v>0</v>
      </c>
      <c r="I378">
        <v>47.54</v>
      </c>
      <c r="J378" s="10">
        <f t="shared" si="10"/>
        <v>3</v>
      </c>
      <c r="K378" s="11">
        <f t="shared" si="11"/>
        <v>0.23769999999999999</v>
      </c>
      <c r="L378" t="str">
        <f>VLOOKUP(C378,Customers!$A$2:$F$1001,2,FALSE())</f>
        <v>John Nguyen</v>
      </c>
      <c r="M378" t="str">
        <f>VLOOKUP(C378,Customers!$A$2:$F$1001,3,FALSE())</f>
        <v>East</v>
      </c>
      <c r="N378" t="str">
        <f>VLOOKUP(C378,Customers!$A$2:$F$1001,4,FALSE())</f>
        <v>Home Office</v>
      </c>
    </row>
    <row r="379" spans="1:14" x14ac:dyDescent="0.25">
      <c r="A379">
        <v>378</v>
      </c>
      <c r="B379" t="s">
        <v>2045</v>
      </c>
      <c r="C379" t="s">
        <v>742</v>
      </c>
      <c r="D379" t="s">
        <v>1812</v>
      </c>
      <c r="E379">
        <v>1</v>
      </c>
      <c r="F379">
        <v>300</v>
      </c>
      <c r="G379">
        <v>300</v>
      </c>
      <c r="H379" s="9">
        <v>0.2</v>
      </c>
      <c r="I379">
        <v>48.23</v>
      </c>
      <c r="J379" s="10">
        <f t="shared" si="10"/>
        <v>6</v>
      </c>
      <c r="K379" s="11">
        <f t="shared" si="11"/>
        <v>0.16076666666666667</v>
      </c>
      <c r="L379" t="str">
        <f>VLOOKUP(C379,Customers!$A$2:$F$1001,2,FALSE())</f>
        <v>Betty Moore</v>
      </c>
      <c r="M379" t="str">
        <f>VLOOKUP(C379,Customers!$A$2:$F$1001,3,FALSE())</f>
        <v>West</v>
      </c>
      <c r="N379" t="str">
        <f>VLOOKUP(C379,Customers!$A$2:$F$1001,4,FALSE())</f>
        <v>Corporate</v>
      </c>
    </row>
    <row r="380" spans="1:14" x14ac:dyDescent="0.25">
      <c r="A380">
        <v>379</v>
      </c>
      <c r="B380" t="s">
        <v>1871</v>
      </c>
      <c r="C380" t="s">
        <v>743</v>
      </c>
      <c r="D380" t="s">
        <v>1814</v>
      </c>
      <c r="E380">
        <v>1</v>
      </c>
      <c r="F380">
        <v>25</v>
      </c>
      <c r="G380">
        <v>25</v>
      </c>
      <c r="H380" s="9">
        <v>0.05</v>
      </c>
      <c r="I380">
        <v>4.21</v>
      </c>
      <c r="J380" s="10">
        <f t="shared" si="10"/>
        <v>2</v>
      </c>
      <c r="K380" s="11">
        <f t="shared" si="11"/>
        <v>0.16839999999999999</v>
      </c>
      <c r="L380" t="str">
        <f>VLOOKUP(C380,Customers!$A$2:$F$1001,2,FALSE())</f>
        <v>Andrew Thomas</v>
      </c>
      <c r="M380" t="str">
        <f>VLOOKUP(C380,Customers!$A$2:$F$1001,3,FALSE())</f>
        <v>East</v>
      </c>
      <c r="N380" t="str">
        <f>VLOOKUP(C380,Customers!$A$2:$F$1001,4,FALSE())</f>
        <v>Consumer</v>
      </c>
    </row>
    <row r="381" spans="1:14" x14ac:dyDescent="0.25">
      <c r="A381">
        <v>380</v>
      </c>
      <c r="B381" t="s">
        <v>1818</v>
      </c>
      <c r="C381" t="s">
        <v>745</v>
      </c>
      <c r="D381" t="s">
        <v>1816</v>
      </c>
      <c r="E381">
        <v>2</v>
      </c>
      <c r="F381">
        <v>300</v>
      </c>
      <c r="G381">
        <v>600</v>
      </c>
      <c r="H381" s="9">
        <v>0.2</v>
      </c>
      <c r="I381">
        <v>-30</v>
      </c>
      <c r="J381" s="10">
        <f t="shared" si="10"/>
        <v>5</v>
      </c>
      <c r="K381" s="11">
        <f t="shared" si="11"/>
        <v>-0.05</v>
      </c>
      <c r="L381" t="str">
        <f>VLOOKUP(C381,Customers!$A$2:$F$1001,2,FALSE())</f>
        <v>Michael Robinson</v>
      </c>
      <c r="M381" t="str">
        <f>VLOOKUP(C381,Customers!$A$2:$F$1001,3,FALSE())</f>
        <v>South</v>
      </c>
      <c r="N381" t="str">
        <f>VLOOKUP(C381,Customers!$A$2:$F$1001,4,FALSE())</f>
        <v>Corporate</v>
      </c>
    </row>
    <row r="382" spans="1:14" x14ac:dyDescent="0.25">
      <c r="A382">
        <v>381</v>
      </c>
      <c r="B382" t="s">
        <v>1881</v>
      </c>
      <c r="C382" t="s">
        <v>747</v>
      </c>
      <c r="D382" t="s">
        <v>1814</v>
      </c>
      <c r="E382">
        <v>4</v>
      </c>
      <c r="F382">
        <v>25</v>
      </c>
      <c r="G382">
        <v>100</v>
      </c>
      <c r="H382" s="9">
        <v>0</v>
      </c>
      <c r="I382">
        <v>24.61</v>
      </c>
      <c r="J382" s="10">
        <f t="shared" si="10"/>
        <v>7</v>
      </c>
      <c r="K382" s="11">
        <f t="shared" si="11"/>
        <v>0.24609999999999999</v>
      </c>
      <c r="L382" t="str">
        <f>VLOOKUP(C382,Customers!$A$2:$F$1001,2,FALSE())</f>
        <v>David Thompson</v>
      </c>
      <c r="M382" t="str">
        <f>VLOOKUP(C382,Customers!$A$2:$F$1001,3,FALSE())</f>
        <v>South</v>
      </c>
      <c r="N382" t="str">
        <f>VLOOKUP(C382,Customers!$A$2:$F$1001,4,FALSE())</f>
        <v>Home Office</v>
      </c>
    </row>
    <row r="383" spans="1:14" x14ac:dyDescent="0.25">
      <c r="A383">
        <v>382</v>
      </c>
      <c r="B383" t="s">
        <v>2046</v>
      </c>
      <c r="C383" t="s">
        <v>748</v>
      </c>
      <c r="D383" t="s">
        <v>1814</v>
      </c>
      <c r="E383">
        <v>2</v>
      </c>
      <c r="F383">
        <v>500</v>
      </c>
      <c r="G383">
        <v>1000</v>
      </c>
      <c r="H383" s="9">
        <v>0.15</v>
      </c>
      <c r="I383">
        <v>82.42</v>
      </c>
      <c r="J383" s="10">
        <f t="shared" si="10"/>
        <v>5</v>
      </c>
      <c r="K383" s="11">
        <f t="shared" si="11"/>
        <v>8.2420000000000007E-2</v>
      </c>
      <c r="L383" t="str">
        <f>VLOOKUP(C383,Customers!$A$2:$F$1001,2,FALSE())</f>
        <v>Melissa Nguyen</v>
      </c>
      <c r="M383" t="str">
        <f>VLOOKUP(C383,Customers!$A$2:$F$1001,3,FALSE())</f>
        <v>North</v>
      </c>
      <c r="N383" t="str">
        <f>VLOOKUP(C383,Customers!$A$2:$F$1001,4,FALSE())</f>
        <v>Consumer</v>
      </c>
    </row>
    <row r="384" spans="1:14" x14ac:dyDescent="0.25">
      <c r="A384">
        <v>383</v>
      </c>
      <c r="B384" t="s">
        <v>1939</v>
      </c>
      <c r="C384" t="s">
        <v>750</v>
      </c>
      <c r="D384" t="s">
        <v>1812</v>
      </c>
      <c r="E384">
        <v>3</v>
      </c>
      <c r="F384">
        <v>30</v>
      </c>
      <c r="G384">
        <v>90</v>
      </c>
      <c r="H384" s="9">
        <v>0.2</v>
      </c>
      <c r="I384">
        <v>8.7100000000000009</v>
      </c>
      <c r="J384" s="10">
        <f t="shared" si="10"/>
        <v>3</v>
      </c>
      <c r="K384" s="11">
        <f t="shared" si="11"/>
        <v>9.6777777777777782E-2</v>
      </c>
      <c r="L384" t="str">
        <f>VLOOKUP(C384,Customers!$A$2:$F$1001,2,FALSE())</f>
        <v>Charles Young</v>
      </c>
      <c r="M384" t="str">
        <f>VLOOKUP(C384,Customers!$A$2:$F$1001,3,FALSE())</f>
        <v>East</v>
      </c>
      <c r="N384" t="str">
        <f>VLOOKUP(C384,Customers!$A$2:$F$1001,4,FALSE())</f>
        <v>Consumer</v>
      </c>
    </row>
    <row r="385" spans="1:14" x14ac:dyDescent="0.25">
      <c r="A385">
        <v>384</v>
      </c>
      <c r="B385" t="s">
        <v>1974</v>
      </c>
      <c r="C385" t="s">
        <v>752</v>
      </c>
      <c r="D385" t="s">
        <v>1814</v>
      </c>
      <c r="E385">
        <v>1</v>
      </c>
      <c r="F385">
        <v>500</v>
      </c>
      <c r="G385">
        <v>500</v>
      </c>
      <c r="H385" s="9">
        <v>0.1</v>
      </c>
      <c r="I385">
        <v>41.39</v>
      </c>
      <c r="J385" s="10">
        <f t="shared" si="10"/>
        <v>8</v>
      </c>
      <c r="K385" s="11">
        <f t="shared" si="11"/>
        <v>8.2780000000000006E-2</v>
      </c>
      <c r="L385" t="str">
        <f>VLOOKUP(C385,Customers!$A$2:$F$1001,2,FALSE())</f>
        <v>Donald Martin</v>
      </c>
      <c r="M385" t="str">
        <f>VLOOKUP(C385,Customers!$A$2:$F$1001,3,FALSE())</f>
        <v>West</v>
      </c>
      <c r="N385" t="str">
        <f>VLOOKUP(C385,Customers!$A$2:$F$1001,4,FALSE())</f>
        <v>Consumer</v>
      </c>
    </row>
    <row r="386" spans="1:14" x14ac:dyDescent="0.25">
      <c r="A386">
        <v>385</v>
      </c>
      <c r="B386" t="s">
        <v>2047</v>
      </c>
      <c r="C386" t="s">
        <v>754</v>
      </c>
      <c r="D386" t="s">
        <v>1816</v>
      </c>
      <c r="E386">
        <v>3</v>
      </c>
      <c r="F386">
        <v>500</v>
      </c>
      <c r="G386">
        <v>1500</v>
      </c>
      <c r="H386" s="9">
        <v>0</v>
      </c>
      <c r="I386">
        <v>186.04</v>
      </c>
      <c r="J386" s="10">
        <f t="shared" ref="J386:J449" si="12">MONTH(B386)</f>
        <v>10</v>
      </c>
      <c r="K386" s="11">
        <f t="shared" ref="K386:K449" si="13">IF(G386=0,0,I386/G386)</f>
        <v>0.12402666666666666</v>
      </c>
      <c r="L386" t="str">
        <f>VLOOKUP(C386,Customers!$A$2:$F$1001,2,FALSE())</f>
        <v>Michael Thomas</v>
      </c>
      <c r="M386" t="str">
        <f>VLOOKUP(C386,Customers!$A$2:$F$1001,3,FALSE())</f>
        <v>West</v>
      </c>
      <c r="N386" t="str">
        <f>VLOOKUP(C386,Customers!$A$2:$F$1001,4,FALSE())</f>
        <v>Consumer</v>
      </c>
    </row>
    <row r="387" spans="1:14" x14ac:dyDescent="0.25">
      <c r="A387">
        <v>386</v>
      </c>
      <c r="B387" t="s">
        <v>1870</v>
      </c>
      <c r="C387" t="s">
        <v>756</v>
      </c>
      <c r="D387" t="s">
        <v>1816</v>
      </c>
      <c r="E387">
        <v>2</v>
      </c>
      <c r="F387">
        <v>300</v>
      </c>
      <c r="G387">
        <v>600</v>
      </c>
      <c r="H387" s="9">
        <v>0.1</v>
      </c>
      <c r="I387">
        <v>41.06</v>
      </c>
      <c r="J387" s="10">
        <f t="shared" si="12"/>
        <v>12</v>
      </c>
      <c r="K387" s="11">
        <f t="shared" si="13"/>
        <v>6.8433333333333332E-2</v>
      </c>
      <c r="L387" t="str">
        <f>VLOOKUP(C387,Customers!$A$2:$F$1001,2,FALSE())</f>
        <v>Steven Flores</v>
      </c>
      <c r="M387" t="str">
        <f>VLOOKUP(C387,Customers!$A$2:$F$1001,3,FALSE())</f>
        <v>North</v>
      </c>
      <c r="N387" t="str">
        <f>VLOOKUP(C387,Customers!$A$2:$F$1001,4,FALSE())</f>
        <v>Corporate</v>
      </c>
    </row>
    <row r="388" spans="1:14" x14ac:dyDescent="0.25">
      <c r="A388">
        <v>387</v>
      </c>
      <c r="B388" t="s">
        <v>2048</v>
      </c>
      <c r="C388" t="s">
        <v>758</v>
      </c>
      <c r="D388" t="s">
        <v>1812</v>
      </c>
      <c r="E388">
        <v>1</v>
      </c>
      <c r="F388">
        <v>30</v>
      </c>
      <c r="G388">
        <v>30</v>
      </c>
      <c r="H388" s="9">
        <v>0.05</v>
      </c>
      <c r="I388">
        <v>8.77</v>
      </c>
      <c r="J388" s="10">
        <f t="shared" si="12"/>
        <v>6</v>
      </c>
      <c r="K388" s="11">
        <f t="shared" si="13"/>
        <v>0.29233333333333333</v>
      </c>
      <c r="L388" t="str">
        <f>VLOOKUP(C388,Customers!$A$2:$F$1001,2,FALSE())</f>
        <v>James Lewis</v>
      </c>
      <c r="M388" t="str">
        <f>VLOOKUP(C388,Customers!$A$2:$F$1001,3,FALSE())</f>
        <v>East</v>
      </c>
      <c r="N388" t="str">
        <f>VLOOKUP(C388,Customers!$A$2:$F$1001,4,FALSE())</f>
        <v>Home Office</v>
      </c>
    </row>
    <row r="389" spans="1:14" x14ac:dyDescent="0.25">
      <c r="A389">
        <v>388</v>
      </c>
      <c r="B389" t="s">
        <v>2049</v>
      </c>
      <c r="C389" t="s">
        <v>760</v>
      </c>
      <c r="D389" t="s">
        <v>1816</v>
      </c>
      <c r="E389">
        <v>1</v>
      </c>
      <c r="F389">
        <v>25</v>
      </c>
      <c r="G389">
        <v>25</v>
      </c>
      <c r="H389" s="9">
        <v>0.2</v>
      </c>
      <c r="I389">
        <v>-1.25</v>
      </c>
      <c r="J389" s="10">
        <f t="shared" si="12"/>
        <v>11</v>
      </c>
      <c r="K389" s="11">
        <f t="shared" si="13"/>
        <v>-0.05</v>
      </c>
      <c r="L389" t="str">
        <f>VLOOKUP(C389,Customers!$A$2:$F$1001,2,FALSE())</f>
        <v>Kevin Hill</v>
      </c>
      <c r="M389" t="str">
        <f>VLOOKUP(C389,Customers!$A$2:$F$1001,3,FALSE())</f>
        <v>South</v>
      </c>
      <c r="N389" t="str">
        <f>VLOOKUP(C389,Customers!$A$2:$F$1001,4,FALSE())</f>
        <v>Consumer</v>
      </c>
    </row>
    <row r="390" spans="1:14" x14ac:dyDescent="0.25">
      <c r="A390">
        <v>389</v>
      </c>
      <c r="B390" t="s">
        <v>2001</v>
      </c>
      <c r="C390" t="s">
        <v>762</v>
      </c>
      <c r="D390" t="s">
        <v>1814</v>
      </c>
      <c r="E390">
        <v>2</v>
      </c>
      <c r="F390">
        <v>25</v>
      </c>
      <c r="G390">
        <v>50</v>
      </c>
      <c r="H390" s="9">
        <v>0.05</v>
      </c>
      <c r="I390">
        <v>9.11</v>
      </c>
      <c r="J390" s="10">
        <f t="shared" si="12"/>
        <v>12</v>
      </c>
      <c r="K390" s="11">
        <f t="shared" si="13"/>
        <v>0.1822</v>
      </c>
      <c r="L390" t="str">
        <f>VLOOKUP(C390,Customers!$A$2:$F$1001,2,FALSE())</f>
        <v>Nancy Jones</v>
      </c>
      <c r="M390" t="str">
        <f>VLOOKUP(C390,Customers!$A$2:$F$1001,3,FALSE())</f>
        <v>West</v>
      </c>
      <c r="N390" t="str">
        <f>VLOOKUP(C390,Customers!$A$2:$F$1001,4,FALSE())</f>
        <v>Corporate</v>
      </c>
    </row>
    <row r="391" spans="1:14" x14ac:dyDescent="0.25">
      <c r="A391">
        <v>390</v>
      </c>
      <c r="B391" t="s">
        <v>1932</v>
      </c>
      <c r="C391" t="s">
        <v>763</v>
      </c>
      <c r="D391" t="s">
        <v>1816</v>
      </c>
      <c r="E391">
        <v>2</v>
      </c>
      <c r="F391">
        <v>50</v>
      </c>
      <c r="G391">
        <v>100</v>
      </c>
      <c r="H391" s="9">
        <v>0</v>
      </c>
      <c r="I391">
        <v>13.02</v>
      </c>
      <c r="J391" s="10">
        <f t="shared" si="12"/>
        <v>9</v>
      </c>
      <c r="K391" s="11">
        <f t="shared" si="13"/>
        <v>0.13019999999999998</v>
      </c>
      <c r="L391" t="str">
        <f>VLOOKUP(C391,Customers!$A$2:$F$1001,2,FALSE())</f>
        <v>Susan Wright</v>
      </c>
      <c r="M391" t="str">
        <f>VLOOKUP(C391,Customers!$A$2:$F$1001,3,FALSE())</f>
        <v>North</v>
      </c>
      <c r="N391" t="str">
        <f>VLOOKUP(C391,Customers!$A$2:$F$1001,4,FALSE())</f>
        <v>Consumer</v>
      </c>
    </row>
    <row r="392" spans="1:14" x14ac:dyDescent="0.25">
      <c r="A392">
        <v>391</v>
      </c>
      <c r="B392" t="s">
        <v>2042</v>
      </c>
      <c r="C392" t="s">
        <v>765</v>
      </c>
      <c r="D392" t="s">
        <v>1812</v>
      </c>
      <c r="E392">
        <v>2</v>
      </c>
      <c r="F392">
        <v>25</v>
      </c>
      <c r="G392">
        <v>50</v>
      </c>
      <c r="H392" s="9">
        <v>0</v>
      </c>
      <c r="I392">
        <v>20.02</v>
      </c>
      <c r="J392" s="10">
        <f t="shared" si="12"/>
        <v>1</v>
      </c>
      <c r="K392" s="11">
        <f t="shared" si="13"/>
        <v>0.40039999999999998</v>
      </c>
      <c r="L392" t="str">
        <f>VLOOKUP(C392,Customers!$A$2:$F$1001,2,FALSE())</f>
        <v>Carol Sanchez</v>
      </c>
      <c r="M392" t="str">
        <f>VLOOKUP(C392,Customers!$A$2:$F$1001,3,FALSE())</f>
        <v>West</v>
      </c>
      <c r="N392" t="str">
        <f>VLOOKUP(C392,Customers!$A$2:$F$1001,4,FALSE())</f>
        <v>Corporate</v>
      </c>
    </row>
    <row r="393" spans="1:14" x14ac:dyDescent="0.25">
      <c r="A393">
        <v>392</v>
      </c>
      <c r="B393" t="s">
        <v>2050</v>
      </c>
      <c r="C393" t="s">
        <v>767</v>
      </c>
      <c r="D393" t="s">
        <v>1814</v>
      </c>
      <c r="E393">
        <v>2</v>
      </c>
      <c r="F393">
        <v>300</v>
      </c>
      <c r="G393">
        <v>600</v>
      </c>
      <c r="H393" s="9">
        <v>0.1</v>
      </c>
      <c r="I393">
        <v>74.61</v>
      </c>
      <c r="J393" s="10">
        <f t="shared" si="12"/>
        <v>12</v>
      </c>
      <c r="K393" s="11">
        <f t="shared" si="13"/>
        <v>0.12435</v>
      </c>
      <c r="L393" t="str">
        <f>VLOOKUP(C393,Customers!$A$2:$F$1001,2,FALSE())</f>
        <v>Michael Jones</v>
      </c>
      <c r="M393" t="str">
        <f>VLOOKUP(C393,Customers!$A$2:$F$1001,3,FALSE())</f>
        <v>West</v>
      </c>
      <c r="N393" t="str">
        <f>VLOOKUP(C393,Customers!$A$2:$F$1001,4,FALSE())</f>
        <v>Corporate</v>
      </c>
    </row>
    <row r="394" spans="1:14" x14ac:dyDescent="0.25">
      <c r="A394">
        <v>393</v>
      </c>
      <c r="B394" t="s">
        <v>1934</v>
      </c>
      <c r="C394" t="s">
        <v>769</v>
      </c>
      <c r="D394" t="s">
        <v>1812</v>
      </c>
      <c r="E394">
        <v>2</v>
      </c>
      <c r="F394">
        <v>500</v>
      </c>
      <c r="G394">
        <v>1000</v>
      </c>
      <c r="H394" s="9">
        <v>0.25</v>
      </c>
      <c r="I394">
        <v>36.700000000000003</v>
      </c>
      <c r="J394" s="10">
        <f t="shared" si="12"/>
        <v>10</v>
      </c>
      <c r="K394" s="11">
        <f t="shared" si="13"/>
        <v>3.6700000000000003E-2</v>
      </c>
      <c r="L394" t="str">
        <f>VLOOKUP(C394,Customers!$A$2:$F$1001,2,FALSE())</f>
        <v>Lisa White</v>
      </c>
      <c r="M394" t="str">
        <f>VLOOKUP(C394,Customers!$A$2:$F$1001,3,FALSE())</f>
        <v>North</v>
      </c>
      <c r="N394" t="str">
        <f>VLOOKUP(C394,Customers!$A$2:$F$1001,4,FALSE())</f>
        <v>Consumer</v>
      </c>
    </row>
    <row r="395" spans="1:14" x14ac:dyDescent="0.25">
      <c r="A395">
        <v>394</v>
      </c>
      <c r="B395" t="s">
        <v>2040</v>
      </c>
      <c r="C395" t="s">
        <v>770</v>
      </c>
      <c r="D395" t="s">
        <v>1814</v>
      </c>
      <c r="E395">
        <v>1</v>
      </c>
      <c r="F395">
        <v>500</v>
      </c>
      <c r="G395">
        <v>500</v>
      </c>
      <c r="H395" s="9">
        <v>0</v>
      </c>
      <c r="I395">
        <v>141.44</v>
      </c>
      <c r="J395" s="10">
        <f t="shared" si="12"/>
        <v>6</v>
      </c>
      <c r="K395" s="11">
        <f t="shared" si="13"/>
        <v>0.28288000000000002</v>
      </c>
      <c r="L395" t="str">
        <f>VLOOKUP(C395,Customers!$A$2:$F$1001,2,FALSE())</f>
        <v>Mary Ramirez</v>
      </c>
      <c r="M395" t="str">
        <f>VLOOKUP(C395,Customers!$A$2:$F$1001,3,FALSE())</f>
        <v>North</v>
      </c>
      <c r="N395" t="str">
        <f>VLOOKUP(C395,Customers!$A$2:$F$1001,4,FALSE())</f>
        <v>Consumer</v>
      </c>
    </row>
    <row r="396" spans="1:14" x14ac:dyDescent="0.25">
      <c r="A396">
        <v>395</v>
      </c>
      <c r="B396" t="s">
        <v>2051</v>
      </c>
      <c r="C396" t="s">
        <v>772</v>
      </c>
      <c r="D396" t="s">
        <v>1816</v>
      </c>
      <c r="E396">
        <v>2</v>
      </c>
      <c r="F396">
        <v>500</v>
      </c>
      <c r="G396">
        <v>1000</v>
      </c>
      <c r="H396" s="9">
        <v>0.1</v>
      </c>
      <c r="I396">
        <v>8.33</v>
      </c>
      <c r="J396" s="10">
        <f t="shared" si="12"/>
        <v>12</v>
      </c>
      <c r="K396" s="11">
        <f t="shared" si="13"/>
        <v>8.3300000000000006E-3</v>
      </c>
      <c r="L396" t="str">
        <f>VLOOKUP(C396,Customers!$A$2:$F$1001,2,FALSE())</f>
        <v>Betty Smith</v>
      </c>
      <c r="M396" t="str">
        <f>VLOOKUP(C396,Customers!$A$2:$F$1001,3,FALSE())</f>
        <v>West</v>
      </c>
      <c r="N396" t="str">
        <f>VLOOKUP(C396,Customers!$A$2:$F$1001,4,FALSE())</f>
        <v>Corporate</v>
      </c>
    </row>
    <row r="397" spans="1:14" x14ac:dyDescent="0.25">
      <c r="A397">
        <v>396</v>
      </c>
      <c r="B397" t="s">
        <v>2052</v>
      </c>
      <c r="C397" t="s">
        <v>773</v>
      </c>
      <c r="D397" t="s">
        <v>1812</v>
      </c>
      <c r="E397">
        <v>1</v>
      </c>
      <c r="F397">
        <v>30</v>
      </c>
      <c r="G397">
        <v>30</v>
      </c>
      <c r="H397" s="9">
        <v>0.2</v>
      </c>
      <c r="I397">
        <v>2.76</v>
      </c>
      <c r="J397" s="10">
        <f t="shared" si="12"/>
        <v>2</v>
      </c>
      <c r="K397" s="11">
        <f t="shared" si="13"/>
        <v>9.1999999999999998E-2</v>
      </c>
      <c r="L397" t="str">
        <f>VLOOKUP(C397,Customers!$A$2:$F$1001,2,FALSE())</f>
        <v>John Jackson</v>
      </c>
      <c r="M397" t="str">
        <f>VLOOKUP(C397,Customers!$A$2:$F$1001,3,FALSE())</f>
        <v>North</v>
      </c>
      <c r="N397" t="str">
        <f>VLOOKUP(C397,Customers!$A$2:$F$1001,4,FALSE())</f>
        <v>Home Office</v>
      </c>
    </row>
    <row r="398" spans="1:14" x14ac:dyDescent="0.25">
      <c r="A398">
        <v>397</v>
      </c>
      <c r="B398" t="s">
        <v>2053</v>
      </c>
      <c r="C398" t="s">
        <v>775</v>
      </c>
      <c r="D398" t="s">
        <v>1812</v>
      </c>
      <c r="E398">
        <v>1</v>
      </c>
      <c r="F398">
        <v>25</v>
      </c>
      <c r="G398">
        <v>25</v>
      </c>
      <c r="H398" s="9">
        <v>0</v>
      </c>
      <c r="I398">
        <v>8.76</v>
      </c>
      <c r="J398" s="10">
        <f t="shared" si="12"/>
        <v>3</v>
      </c>
      <c r="K398" s="11">
        <f t="shared" si="13"/>
        <v>0.35039999999999999</v>
      </c>
      <c r="L398" t="str">
        <f>VLOOKUP(C398,Customers!$A$2:$F$1001,2,FALSE())</f>
        <v>Andrew King</v>
      </c>
      <c r="M398" t="str">
        <f>VLOOKUP(C398,Customers!$A$2:$F$1001,3,FALSE())</f>
        <v>East</v>
      </c>
      <c r="N398" t="str">
        <f>VLOOKUP(C398,Customers!$A$2:$F$1001,4,FALSE())</f>
        <v>Consumer</v>
      </c>
    </row>
    <row r="399" spans="1:14" x14ac:dyDescent="0.25">
      <c r="A399">
        <v>398</v>
      </c>
      <c r="B399" t="s">
        <v>1856</v>
      </c>
      <c r="C399" t="s">
        <v>777</v>
      </c>
      <c r="D399" t="s">
        <v>1814</v>
      </c>
      <c r="E399">
        <v>2</v>
      </c>
      <c r="F399">
        <v>300</v>
      </c>
      <c r="G399">
        <v>600</v>
      </c>
      <c r="H399" s="9">
        <v>0</v>
      </c>
      <c r="I399">
        <v>150</v>
      </c>
      <c r="J399" s="10">
        <f t="shared" si="12"/>
        <v>5</v>
      </c>
      <c r="K399" s="11">
        <f t="shared" si="13"/>
        <v>0.25</v>
      </c>
      <c r="L399" t="str">
        <f>VLOOKUP(C399,Customers!$A$2:$F$1001,2,FALSE())</f>
        <v>Nancy Lopez</v>
      </c>
      <c r="M399" t="str">
        <f>VLOOKUP(C399,Customers!$A$2:$F$1001,3,FALSE())</f>
        <v>West</v>
      </c>
      <c r="N399" t="str">
        <f>VLOOKUP(C399,Customers!$A$2:$F$1001,4,FALSE())</f>
        <v>Consumer</v>
      </c>
    </row>
    <row r="400" spans="1:14" x14ac:dyDescent="0.25">
      <c r="A400">
        <v>399</v>
      </c>
      <c r="B400" t="s">
        <v>2054</v>
      </c>
      <c r="C400" t="s">
        <v>779</v>
      </c>
      <c r="D400" t="s">
        <v>1812</v>
      </c>
      <c r="E400">
        <v>2</v>
      </c>
      <c r="F400">
        <v>30</v>
      </c>
      <c r="G400">
        <v>60</v>
      </c>
      <c r="H400" s="9">
        <v>0.1</v>
      </c>
      <c r="I400">
        <v>14.27</v>
      </c>
      <c r="J400" s="10">
        <f t="shared" si="12"/>
        <v>3</v>
      </c>
      <c r="K400" s="11">
        <f t="shared" si="13"/>
        <v>0.23783333333333331</v>
      </c>
      <c r="L400" t="str">
        <f>VLOOKUP(C400,Customers!$A$2:$F$1001,2,FALSE())</f>
        <v>Edward Jackson</v>
      </c>
      <c r="M400" t="str">
        <f>VLOOKUP(C400,Customers!$A$2:$F$1001,3,FALSE())</f>
        <v>East</v>
      </c>
      <c r="N400" t="str">
        <f>VLOOKUP(C400,Customers!$A$2:$F$1001,4,FALSE())</f>
        <v>Consumer</v>
      </c>
    </row>
    <row r="401" spans="1:14" x14ac:dyDescent="0.25">
      <c r="A401">
        <v>400</v>
      </c>
      <c r="B401" t="s">
        <v>1944</v>
      </c>
      <c r="C401" t="s">
        <v>781</v>
      </c>
      <c r="D401" t="s">
        <v>1814</v>
      </c>
      <c r="E401">
        <v>4</v>
      </c>
      <c r="F401">
        <v>50</v>
      </c>
      <c r="G401">
        <v>200</v>
      </c>
      <c r="H401" s="9">
        <v>0.1</v>
      </c>
      <c r="I401">
        <v>38.549999999999997</v>
      </c>
      <c r="J401" s="10">
        <f t="shared" si="12"/>
        <v>2</v>
      </c>
      <c r="K401" s="11">
        <f t="shared" si="13"/>
        <v>0.19274999999999998</v>
      </c>
      <c r="L401" t="str">
        <f>VLOOKUP(C401,Customers!$A$2:$F$1001,2,FALSE())</f>
        <v>Jessica Moore</v>
      </c>
      <c r="M401" t="str">
        <f>VLOOKUP(C401,Customers!$A$2:$F$1001,3,FALSE())</f>
        <v>South</v>
      </c>
      <c r="N401" t="str">
        <f>VLOOKUP(C401,Customers!$A$2:$F$1001,4,FALSE())</f>
        <v>Corporate</v>
      </c>
    </row>
    <row r="402" spans="1:14" x14ac:dyDescent="0.25">
      <c r="A402">
        <v>401</v>
      </c>
      <c r="B402" t="s">
        <v>1934</v>
      </c>
      <c r="C402" t="s">
        <v>783</v>
      </c>
      <c r="D402" t="s">
        <v>1814</v>
      </c>
      <c r="E402">
        <v>1</v>
      </c>
      <c r="F402">
        <v>300</v>
      </c>
      <c r="G402">
        <v>300</v>
      </c>
      <c r="H402" s="9">
        <v>0</v>
      </c>
      <c r="I402">
        <v>78.03</v>
      </c>
      <c r="J402" s="10">
        <f t="shared" si="12"/>
        <v>10</v>
      </c>
      <c r="K402" s="11">
        <f t="shared" si="13"/>
        <v>0.2601</v>
      </c>
      <c r="L402" t="str">
        <f>VLOOKUP(C402,Customers!$A$2:$F$1001,2,FALSE())</f>
        <v>James Gonzalez</v>
      </c>
      <c r="M402" t="str">
        <f>VLOOKUP(C402,Customers!$A$2:$F$1001,3,FALSE())</f>
        <v>South</v>
      </c>
      <c r="N402" t="str">
        <f>VLOOKUP(C402,Customers!$A$2:$F$1001,4,FALSE())</f>
        <v>Corporate</v>
      </c>
    </row>
    <row r="403" spans="1:14" x14ac:dyDescent="0.25">
      <c r="A403">
        <v>402</v>
      </c>
      <c r="B403" t="s">
        <v>1848</v>
      </c>
      <c r="C403" t="s">
        <v>785</v>
      </c>
      <c r="D403" t="s">
        <v>1814</v>
      </c>
      <c r="E403">
        <v>2</v>
      </c>
      <c r="F403">
        <v>300</v>
      </c>
      <c r="G403">
        <v>600</v>
      </c>
      <c r="H403" s="9">
        <v>0.15</v>
      </c>
      <c r="I403">
        <v>-0.8</v>
      </c>
      <c r="J403" s="10">
        <f t="shared" si="12"/>
        <v>3</v>
      </c>
      <c r="K403" s="11">
        <f t="shared" si="13"/>
        <v>-1.3333333333333335E-3</v>
      </c>
      <c r="L403" t="str">
        <f>VLOOKUP(C403,Customers!$A$2:$F$1001,2,FALSE())</f>
        <v>Margaret Torres</v>
      </c>
      <c r="M403" t="str">
        <f>VLOOKUP(C403,Customers!$A$2:$F$1001,3,FALSE())</f>
        <v>North</v>
      </c>
      <c r="N403" t="str">
        <f>VLOOKUP(C403,Customers!$A$2:$F$1001,4,FALSE())</f>
        <v>Corporate</v>
      </c>
    </row>
    <row r="404" spans="1:14" x14ac:dyDescent="0.25">
      <c r="A404">
        <v>403</v>
      </c>
      <c r="B404" t="s">
        <v>2055</v>
      </c>
      <c r="C404" t="s">
        <v>787</v>
      </c>
      <c r="D404" t="s">
        <v>1814</v>
      </c>
      <c r="E404">
        <v>2</v>
      </c>
      <c r="F404">
        <v>300</v>
      </c>
      <c r="G404">
        <v>600</v>
      </c>
      <c r="H404" s="9">
        <v>0.05</v>
      </c>
      <c r="I404">
        <v>119.87</v>
      </c>
      <c r="J404" s="10">
        <f t="shared" si="12"/>
        <v>5</v>
      </c>
      <c r="K404" s="11">
        <f t="shared" si="13"/>
        <v>0.19978333333333334</v>
      </c>
      <c r="L404" t="str">
        <f>VLOOKUP(C404,Customers!$A$2:$F$1001,2,FALSE())</f>
        <v>Andrew Young</v>
      </c>
      <c r="M404" t="str">
        <f>VLOOKUP(C404,Customers!$A$2:$F$1001,3,FALSE())</f>
        <v>West</v>
      </c>
      <c r="N404" t="str">
        <f>VLOOKUP(C404,Customers!$A$2:$F$1001,4,FALSE())</f>
        <v>Corporate</v>
      </c>
    </row>
    <row r="405" spans="1:14" x14ac:dyDescent="0.25">
      <c r="A405">
        <v>404</v>
      </c>
      <c r="B405" t="s">
        <v>2056</v>
      </c>
      <c r="C405" t="s">
        <v>789</v>
      </c>
      <c r="D405" t="s">
        <v>1816</v>
      </c>
      <c r="E405">
        <v>2</v>
      </c>
      <c r="F405">
        <v>500</v>
      </c>
      <c r="G405">
        <v>1000</v>
      </c>
      <c r="H405" s="9">
        <v>0.2</v>
      </c>
      <c r="I405">
        <v>-50</v>
      </c>
      <c r="J405" s="10">
        <f t="shared" si="12"/>
        <v>5</v>
      </c>
      <c r="K405" s="11">
        <f t="shared" si="13"/>
        <v>-0.05</v>
      </c>
      <c r="L405" t="str">
        <f>VLOOKUP(C405,Customers!$A$2:$F$1001,2,FALSE())</f>
        <v>Betty Jones</v>
      </c>
      <c r="M405" t="str">
        <f>VLOOKUP(C405,Customers!$A$2:$F$1001,3,FALSE())</f>
        <v>South</v>
      </c>
      <c r="N405" t="str">
        <f>VLOOKUP(C405,Customers!$A$2:$F$1001,4,FALSE())</f>
        <v>Home Office</v>
      </c>
    </row>
    <row r="406" spans="1:14" x14ac:dyDescent="0.25">
      <c r="A406">
        <v>405</v>
      </c>
      <c r="B406" t="s">
        <v>1855</v>
      </c>
      <c r="C406" t="s">
        <v>791</v>
      </c>
      <c r="D406" t="s">
        <v>1814</v>
      </c>
      <c r="E406">
        <v>4</v>
      </c>
      <c r="F406">
        <v>300</v>
      </c>
      <c r="G406">
        <v>1200</v>
      </c>
      <c r="H406" s="9">
        <v>0.15</v>
      </c>
      <c r="I406">
        <v>85.56</v>
      </c>
      <c r="J406" s="10">
        <f t="shared" si="12"/>
        <v>11</v>
      </c>
      <c r="K406" s="11">
        <f t="shared" si="13"/>
        <v>7.1300000000000002E-2</v>
      </c>
      <c r="L406" t="str">
        <f>VLOOKUP(C406,Customers!$A$2:$F$1001,2,FALSE())</f>
        <v>Karen Flores</v>
      </c>
      <c r="M406" t="str">
        <f>VLOOKUP(C406,Customers!$A$2:$F$1001,3,FALSE())</f>
        <v>North</v>
      </c>
      <c r="N406" t="str">
        <f>VLOOKUP(C406,Customers!$A$2:$F$1001,4,FALSE())</f>
        <v>Home Office</v>
      </c>
    </row>
    <row r="407" spans="1:14" x14ac:dyDescent="0.25">
      <c r="A407">
        <v>406</v>
      </c>
      <c r="B407" t="s">
        <v>1883</v>
      </c>
      <c r="C407" t="s">
        <v>793</v>
      </c>
      <c r="D407" t="s">
        <v>1812</v>
      </c>
      <c r="E407">
        <v>4</v>
      </c>
      <c r="F407">
        <v>25</v>
      </c>
      <c r="G407">
        <v>100</v>
      </c>
      <c r="H407" s="9">
        <v>0.15</v>
      </c>
      <c r="I407">
        <v>17.739999999999998</v>
      </c>
      <c r="J407" s="10">
        <f t="shared" si="12"/>
        <v>4</v>
      </c>
      <c r="K407" s="11">
        <f t="shared" si="13"/>
        <v>0.17739999999999997</v>
      </c>
      <c r="L407" t="str">
        <f>VLOOKUP(C407,Customers!$A$2:$F$1001,2,FALSE())</f>
        <v>Robert Scott</v>
      </c>
      <c r="M407" t="str">
        <f>VLOOKUP(C407,Customers!$A$2:$F$1001,3,FALSE())</f>
        <v>South</v>
      </c>
      <c r="N407" t="str">
        <f>VLOOKUP(C407,Customers!$A$2:$F$1001,4,FALSE())</f>
        <v>Consumer</v>
      </c>
    </row>
    <row r="408" spans="1:14" x14ac:dyDescent="0.25">
      <c r="A408">
        <v>407</v>
      </c>
      <c r="B408" t="s">
        <v>2057</v>
      </c>
      <c r="C408" t="s">
        <v>795</v>
      </c>
      <c r="D408" t="s">
        <v>1816</v>
      </c>
      <c r="E408">
        <v>3</v>
      </c>
      <c r="F408">
        <v>300</v>
      </c>
      <c r="G408">
        <v>900</v>
      </c>
      <c r="H408" s="9">
        <v>0.05</v>
      </c>
      <c r="I408">
        <v>80.23</v>
      </c>
      <c r="J408" s="10">
        <f t="shared" si="12"/>
        <v>6</v>
      </c>
      <c r="K408" s="11">
        <f t="shared" si="13"/>
        <v>8.9144444444444443E-2</v>
      </c>
      <c r="L408" t="str">
        <f>VLOOKUP(C408,Customers!$A$2:$F$1001,2,FALSE())</f>
        <v>Paul Lopez</v>
      </c>
      <c r="M408" t="str">
        <f>VLOOKUP(C408,Customers!$A$2:$F$1001,3,FALSE())</f>
        <v>West</v>
      </c>
      <c r="N408" t="str">
        <f>VLOOKUP(C408,Customers!$A$2:$F$1001,4,FALSE())</f>
        <v>Corporate</v>
      </c>
    </row>
    <row r="409" spans="1:14" x14ac:dyDescent="0.25">
      <c r="A409">
        <v>408</v>
      </c>
      <c r="B409" t="s">
        <v>2039</v>
      </c>
      <c r="C409" t="s">
        <v>797</v>
      </c>
      <c r="D409" t="s">
        <v>1812</v>
      </c>
      <c r="E409">
        <v>1</v>
      </c>
      <c r="F409">
        <v>500</v>
      </c>
      <c r="G409">
        <v>500</v>
      </c>
      <c r="H409" s="9">
        <v>0</v>
      </c>
      <c r="I409">
        <v>174.21</v>
      </c>
      <c r="J409" s="10">
        <f t="shared" si="12"/>
        <v>4</v>
      </c>
      <c r="K409" s="11">
        <f t="shared" si="13"/>
        <v>0.34842000000000001</v>
      </c>
      <c r="L409" t="str">
        <f>VLOOKUP(C409,Customers!$A$2:$F$1001,2,FALSE())</f>
        <v>Joshua King</v>
      </c>
      <c r="M409" t="str">
        <f>VLOOKUP(C409,Customers!$A$2:$F$1001,3,FALSE())</f>
        <v>North</v>
      </c>
      <c r="N409" t="str">
        <f>VLOOKUP(C409,Customers!$A$2:$F$1001,4,FALSE())</f>
        <v>Consumer</v>
      </c>
    </row>
    <row r="410" spans="1:14" x14ac:dyDescent="0.25">
      <c r="A410">
        <v>409</v>
      </c>
      <c r="B410" t="s">
        <v>2058</v>
      </c>
      <c r="C410" t="s">
        <v>798</v>
      </c>
      <c r="D410" t="s">
        <v>1816</v>
      </c>
      <c r="E410">
        <v>3</v>
      </c>
      <c r="F410">
        <v>300</v>
      </c>
      <c r="G410">
        <v>900</v>
      </c>
      <c r="H410" s="9">
        <v>0.05</v>
      </c>
      <c r="I410">
        <v>97.55</v>
      </c>
      <c r="J410" s="10">
        <f t="shared" si="12"/>
        <v>12</v>
      </c>
      <c r="K410" s="11">
        <f t="shared" si="13"/>
        <v>0.10838888888888888</v>
      </c>
      <c r="L410" t="str">
        <f>VLOOKUP(C410,Customers!$A$2:$F$1001,2,FALSE())</f>
        <v>Robert Jones</v>
      </c>
      <c r="M410" t="str">
        <f>VLOOKUP(C410,Customers!$A$2:$F$1001,3,FALSE())</f>
        <v>West</v>
      </c>
      <c r="N410" t="str">
        <f>VLOOKUP(C410,Customers!$A$2:$F$1001,4,FALSE())</f>
        <v>Consumer</v>
      </c>
    </row>
    <row r="411" spans="1:14" x14ac:dyDescent="0.25">
      <c r="A411">
        <v>410</v>
      </c>
      <c r="B411" t="s">
        <v>2059</v>
      </c>
      <c r="C411" t="s">
        <v>800</v>
      </c>
      <c r="D411" t="s">
        <v>1814</v>
      </c>
      <c r="E411">
        <v>2</v>
      </c>
      <c r="F411">
        <v>50</v>
      </c>
      <c r="G411">
        <v>100</v>
      </c>
      <c r="H411" s="9">
        <v>0</v>
      </c>
      <c r="I411">
        <v>23.37</v>
      </c>
      <c r="J411" s="10">
        <f t="shared" si="12"/>
        <v>11</v>
      </c>
      <c r="K411" s="11">
        <f t="shared" si="13"/>
        <v>0.23370000000000002</v>
      </c>
      <c r="L411" t="str">
        <f>VLOOKUP(C411,Customers!$A$2:$F$1001,2,FALSE())</f>
        <v>Kimberly Flores</v>
      </c>
      <c r="M411" t="str">
        <f>VLOOKUP(C411,Customers!$A$2:$F$1001,3,FALSE())</f>
        <v>East</v>
      </c>
      <c r="N411" t="str">
        <f>VLOOKUP(C411,Customers!$A$2:$F$1001,4,FALSE())</f>
        <v>Home Office</v>
      </c>
    </row>
    <row r="412" spans="1:14" x14ac:dyDescent="0.25">
      <c r="A412">
        <v>411</v>
      </c>
      <c r="B412" t="s">
        <v>1856</v>
      </c>
      <c r="C412" t="s">
        <v>802</v>
      </c>
      <c r="D412" t="s">
        <v>1816</v>
      </c>
      <c r="E412">
        <v>4</v>
      </c>
      <c r="F412">
        <v>50</v>
      </c>
      <c r="G412">
        <v>200</v>
      </c>
      <c r="H412" s="9">
        <v>0.1</v>
      </c>
      <c r="I412">
        <v>0.31</v>
      </c>
      <c r="J412" s="10">
        <f t="shared" si="12"/>
        <v>5</v>
      </c>
      <c r="K412" s="11">
        <f t="shared" si="13"/>
        <v>1.5499999999999999E-3</v>
      </c>
      <c r="L412" t="str">
        <f>VLOOKUP(C412,Customers!$A$2:$F$1001,2,FALSE())</f>
        <v>Mary Clark</v>
      </c>
      <c r="M412" t="str">
        <f>VLOOKUP(C412,Customers!$A$2:$F$1001,3,FALSE())</f>
        <v>West</v>
      </c>
      <c r="N412" t="str">
        <f>VLOOKUP(C412,Customers!$A$2:$F$1001,4,FALSE())</f>
        <v>Corporate</v>
      </c>
    </row>
    <row r="413" spans="1:14" x14ac:dyDescent="0.25">
      <c r="A413">
        <v>412</v>
      </c>
      <c r="B413" t="s">
        <v>1832</v>
      </c>
      <c r="C413" t="s">
        <v>804</v>
      </c>
      <c r="D413" t="s">
        <v>1816</v>
      </c>
      <c r="E413">
        <v>4</v>
      </c>
      <c r="F413">
        <v>500</v>
      </c>
      <c r="G413">
        <v>2000</v>
      </c>
      <c r="H413" s="9">
        <v>0</v>
      </c>
      <c r="I413">
        <v>481.43</v>
      </c>
      <c r="J413" s="10">
        <f t="shared" si="12"/>
        <v>9</v>
      </c>
      <c r="K413" s="11">
        <f t="shared" si="13"/>
        <v>0.24071500000000001</v>
      </c>
      <c r="L413" t="str">
        <f>VLOOKUP(C413,Customers!$A$2:$F$1001,2,FALSE())</f>
        <v>Michael Clark</v>
      </c>
      <c r="M413" t="str">
        <f>VLOOKUP(C413,Customers!$A$2:$F$1001,3,FALSE())</f>
        <v>West</v>
      </c>
      <c r="N413" t="str">
        <f>VLOOKUP(C413,Customers!$A$2:$F$1001,4,FALSE())</f>
        <v>Home Office</v>
      </c>
    </row>
    <row r="414" spans="1:14" x14ac:dyDescent="0.25">
      <c r="A414">
        <v>413</v>
      </c>
      <c r="B414" t="s">
        <v>1954</v>
      </c>
      <c r="C414" t="s">
        <v>806</v>
      </c>
      <c r="D414" t="s">
        <v>1812</v>
      </c>
      <c r="E414">
        <v>3</v>
      </c>
      <c r="F414">
        <v>25</v>
      </c>
      <c r="G414">
        <v>75</v>
      </c>
      <c r="H414" s="9">
        <v>0.05</v>
      </c>
      <c r="I414">
        <v>20.14</v>
      </c>
      <c r="J414" s="10">
        <f t="shared" si="12"/>
        <v>9</v>
      </c>
      <c r="K414" s="11">
        <f t="shared" si="13"/>
        <v>0.26853333333333335</v>
      </c>
      <c r="L414" t="str">
        <f>VLOOKUP(C414,Customers!$A$2:$F$1001,2,FALSE())</f>
        <v>Ashley Brown</v>
      </c>
      <c r="M414" t="str">
        <f>VLOOKUP(C414,Customers!$A$2:$F$1001,3,FALSE())</f>
        <v>West</v>
      </c>
      <c r="N414" t="str">
        <f>VLOOKUP(C414,Customers!$A$2:$F$1001,4,FALSE())</f>
        <v>Consumer</v>
      </c>
    </row>
    <row r="415" spans="1:14" x14ac:dyDescent="0.25">
      <c r="A415">
        <v>414</v>
      </c>
      <c r="B415" t="s">
        <v>1933</v>
      </c>
      <c r="C415" t="s">
        <v>807</v>
      </c>
      <c r="D415" t="s">
        <v>1812</v>
      </c>
      <c r="E415">
        <v>4</v>
      </c>
      <c r="F415">
        <v>25</v>
      </c>
      <c r="G415">
        <v>100</v>
      </c>
      <c r="H415" s="9">
        <v>0</v>
      </c>
      <c r="I415">
        <v>35.299999999999997</v>
      </c>
      <c r="J415" s="10">
        <f t="shared" si="12"/>
        <v>5</v>
      </c>
      <c r="K415" s="11">
        <f t="shared" si="13"/>
        <v>0.35299999999999998</v>
      </c>
      <c r="L415" t="str">
        <f>VLOOKUP(C415,Customers!$A$2:$F$1001,2,FALSE())</f>
        <v>Paul Scott</v>
      </c>
      <c r="M415" t="str">
        <f>VLOOKUP(C415,Customers!$A$2:$F$1001,3,FALSE())</f>
        <v>West</v>
      </c>
      <c r="N415" t="str">
        <f>VLOOKUP(C415,Customers!$A$2:$F$1001,4,FALSE())</f>
        <v>Corporate</v>
      </c>
    </row>
    <row r="416" spans="1:14" x14ac:dyDescent="0.25">
      <c r="A416">
        <v>415</v>
      </c>
      <c r="B416" t="s">
        <v>2060</v>
      </c>
      <c r="C416" t="s">
        <v>809</v>
      </c>
      <c r="D416" t="s">
        <v>1814</v>
      </c>
      <c r="E416">
        <v>2</v>
      </c>
      <c r="F416">
        <v>30</v>
      </c>
      <c r="G416">
        <v>60</v>
      </c>
      <c r="H416" s="9">
        <v>0</v>
      </c>
      <c r="I416">
        <v>12.31</v>
      </c>
      <c r="J416" s="10">
        <f t="shared" si="12"/>
        <v>1</v>
      </c>
      <c r="K416" s="11">
        <f t="shared" si="13"/>
        <v>0.20516666666666666</v>
      </c>
      <c r="L416" t="str">
        <f>VLOOKUP(C416,Customers!$A$2:$F$1001,2,FALSE())</f>
        <v>Carol Johnson</v>
      </c>
      <c r="M416" t="str">
        <f>VLOOKUP(C416,Customers!$A$2:$F$1001,3,FALSE())</f>
        <v>North</v>
      </c>
      <c r="N416" t="str">
        <f>VLOOKUP(C416,Customers!$A$2:$F$1001,4,FALSE())</f>
        <v>Consumer</v>
      </c>
    </row>
    <row r="417" spans="1:14" x14ac:dyDescent="0.25">
      <c r="A417">
        <v>416</v>
      </c>
      <c r="B417" t="s">
        <v>1829</v>
      </c>
      <c r="C417" t="s">
        <v>811</v>
      </c>
      <c r="D417" t="s">
        <v>1816</v>
      </c>
      <c r="E417">
        <v>4</v>
      </c>
      <c r="F417">
        <v>500</v>
      </c>
      <c r="G417">
        <v>2000</v>
      </c>
      <c r="H417" s="9">
        <v>0</v>
      </c>
      <c r="I417">
        <v>306.99</v>
      </c>
      <c r="J417" s="10">
        <f t="shared" si="12"/>
        <v>2</v>
      </c>
      <c r="K417" s="11">
        <f t="shared" si="13"/>
        <v>0.15349499999999999</v>
      </c>
      <c r="L417" t="str">
        <f>VLOOKUP(C417,Customers!$A$2:$F$1001,2,FALSE())</f>
        <v>Richard Martinez</v>
      </c>
      <c r="M417" t="str">
        <f>VLOOKUP(C417,Customers!$A$2:$F$1001,3,FALSE())</f>
        <v>West</v>
      </c>
      <c r="N417" t="str">
        <f>VLOOKUP(C417,Customers!$A$2:$F$1001,4,FALSE())</f>
        <v>Consumer</v>
      </c>
    </row>
    <row r="418" spans="1:14" x14ac:dyDescent="0.25">
      <c r="A418">
        <v>417</v>
      </c>
      <c r="B418" t="s">
        <v>2059</v>
      </c>
      <c r="C418" t="s">
        <v>813</v>
      </c>
      <c r="D418" t="s">
        <v>1816</v>
      </c>
      <c r="E418">
        <v>3</v>
      </c>
      <c r="F418">
        <v>300</v>
      </c>
      <c r="G418">
        <v>900</v>
      </c>
      <c r="H418" s="9">
        <v>0.1</v>
      </c>
      <c r="I418">
        <v>1.8</v>
      </c>
      <c r="J418" s="10">
        <f t="shared" si="12"/>
        <v>11</v>
      </c>
      <c r="K418" s="11">
        <f t="shared" si="13"/>
        <v>2E-3</v>
      </c>
      <c r="L418" t="str">
        <f>VLOOKUP(C418,Customers!$A$2:$F$1001,2,FALSE())</f>
        <v>Daniel Garcia</v>
      </c>
      <c r="M418" t="str">
        <f>VLOOKUP(C418,Customers!$A$2:$F$1001,3,FALSE())</f>
        <v>East</v>
      </c>
      <c r="N418" t="str">
        <f>VLOOKUP(C418,Customers!$A$2:$F$1001,4,FALSE())</f>
        <v>Consumer</v>
      </c>
    </row>
    <row r="419" spans="1:14" x14ac:dyDescent="0.25">
      <c r="A419">
        <v>418</v>
      </c>
      <c r="B419" t="s">
        <v>1826</v>
      </c>
      <c r="C419" t="s">
        <v>815</v>
      </c>
      <c r="D419" t="s">
        <v>1816</v>
      </c>
      <c r="E419">
        <v>2</v>
      </c>
      <c r="F419">
        <v>500</v>
      </c>
      <c r="G419">
        <v>1000</v>
      </c>
      <c r="H419" s="9">
        <v>0.15</v>
      </c>
      <c r="I419">
        <v>-43.27</v>
      </c>
      <c r="J419" s="10">
        <f t="shared" si="12"/>
        <v>8</v>
      </c>
      <c r="K419" s="11">
        <f t="shared" si="13"/>
        <v>-4.3270000000000003E-2</v>
      </c>
      <c r="L419" t="str">
        <f>VLOOKUP(C419,Customers!$A$2:$F$1001,2,FALSE())</f>
        <v>Kevin Young</v>
      </c>
      <c r="M419" t="str">
        <f>VLOOKUP(C419,Customers!$A$2:$F$1001,3,FALSE())</f>
        <v>East</v>
      </c>
      <c r="N419" t="str">
        <f>VLOOKUP(C419,Customers!$A$2:$F$1001,4,FALSE())</f>
        <v>Corporate</v>
      </c>
    </row>
    <row r="420" spans="1:14" x14ac:dyDescent="0.25">
      <c r="A420">
        <v>419</v>
      </c>
      <c r="B420" t="s">
        <v>2061</v>
      </c>
      <c r="C420" t="s">
        <v>817</v>
      </c>
      <c r="D420" t="s">
        <v>1814</v>
      </c>
      <c r="E420">
        <v>3</v>
      </c>
      <c r="F420">
        <v>30</v>
      </c>
      <c r="G420">
        <v>90</v>
      </c>
      <c r="H420" s="9">
        <v>0</v>
      </c>
      <c r="I420">
        <v>25.32</v>
      </c>
      <c r="J420" s="10">
        <f t="shared" si="12"/>
        <v>5</v>
      </c>
      <c r="K420" s="11">
        <f t="shared" si="13"/>
        <v>0.28133333333333332</v>
      </c>
      <c r="L420" t="str">
        <f>VLOOKUP(C420,Customers!$A$2:$F$1001,2,FALSE())</f>
        <v>Kenneth Davis</v>
      </c>
      <c r="M420" t="str">
        <f>VLOOKUP(C420,Customers!$A$2:$F$1001,3,FALSE())</f>
        <v>West</v>
      </c>
      <c r="N420" t="str">
        <f>VLOOKUP(C420,Customers!$A$2:$F$1001,4,FALSE())</f>
        <v>Consumer</v>
      </c>
    </row>
    <row r="421" spans="1:14" x14ac:dyDescent="0.25">
      <c r="A421">
        <v>420</v>
      </c>
      <c r="B421" t="s">
        <v>1857</v>
      </c>
      <c r="C421" t="s">
        <v>819</v>
      </c>
      <c r="D421" t="s">
        <v>1814</v>
      </c>
      <c r="E421">
        <v>4</v>
      </c>
      <c r="F421">
        <v>500</v>
      </c>
      <c r="G421">
        <v>2000</v>
      </c>
      <c r="H421" s="9">
        <v>0.15</v>
      </c>
      <c r="I421">
        <v>168.32</v>
      </c>
      <c r="J421" s="10">
        <f t="shared" si="12"/>
        <v>1</v>
      </c>
      <c r="K421" s="11">
        <f t="shared" si="13"/>
        <v>8.4159999999999999E-2</v>
      </c>
      <c r="L421" t="str">
        <f>VLOOKUP(C421,Customers!$A$2:$F$1001,2,FALSE())</f>
        <v>James Torres</v>
      </c>
      <c r="M421" t="str">
        <f>VLOOKUP(C421,Customers!$A$2:$F$1001,3,FALSE())</f>
        <v>West</v>
      </c>
      <c r="N421" t="str">
        <f>VLOOKUP(C421,Customers!$A$2:$F$1001,4,FALSE())</f>
        <v>Home Office</v>
      </c>
    </row>
    <row r="422" spans="1:14" x14ac:dyDescent="0.25">
      <c r="A422">
        <v>421</v>
      </c>
      <c r="B422" t="s">
        <v>1940</v>
      </c>
      <c r="C422" t="s">
        <v>821</v>
      </c>
      <c r="D422" t="s">
        <v>1814</v>
      </c>
      <c r="E422">
        <v>3</v>
      </c>
      <c r="F422">
        <v>500</v>
      </c>
      <c r="G422">
        <v>1500</v>
      </c>
      <c r="H422" s="9">
        <v>0.15</v>
      </c>
      <c r="I422">
        <v>130.58000000000001</v>
      </c>
      <c r="J422" s="10">
        <f t="shared" si="12"/>
        <v>1</v>
      </c>
      <c r="K422" s="11">
        <f t="shared" si="13"/>
        <v>8.7053333333333344E-2</v>
      </c>
      <c r="L422" t="str">
        <f>VLOOKUP(C422,Customers!$A$2:$F$1001,2,FALSE())</f>
        <v>Joseph Clark</v>
      </c>
      <c r="M422" t="str">
        <f>VLOOKUP(C422,Customers!$A$2:$F$1001,3,FALSE())</f>
        <v>East</v>
      </c>
      <c r="N422" t="str">
        <f>VLOOKUP(C422,Customers!$A$2:$F$1001,4,FALSE())</f>
        <v>Consumer</v>
      </c>
    </row>
    <row r="423" spans="1:14" x14ac:dyDescent="0.25">
      <c r="A423">
        <v>422</v>
      </c>
      <c r="B423" t="s">
        <v>2062</v>
      </c>
      <c r="C423" t="s">
        <v>823</v>
      </c>
      <c r="D423" t="s">
        <v>1814</v>
      </c>
      <c r="E423">
        <v>3</v>
      </c>
      <c r="F423">
        <v>30</v>
      </c>
      <c r="G423">
        <v>90</v>
      </c>
      <c r="H423" s="9">
        <v>0.05</v>
      </c>
      <c r="I423">
        <v>12.32</v>
      </c>
      <c r="J423" s="10">
        <f t="shared" si="12"/>
        <v>6</v>
      </c>
      <c r="K423" s="11">
        <f t="shared" si="13"/>
        <v>0.13688888888888889</v>
      </c>
      <c r="L423" t="str">
        <f>VLOOKUP(C423,Customers!$A$2:$F$1001,2,FALSE())</f>
        <v>Amanda Johnson</v>
      </c>
      <c r="M423" t="str">
        <f>VLOOKUP(C423,Customers!$A$2:$F$1001,3,FALSE())</f>
        <v>South</v>
      </c>
      <c r="N423" t="str">
        <f>VLOOKUP(C423,Customers!$A$2:$F$1001,4,FALSE())</f>
        <v>Consumer</v>
      </c>
    </row>
    <row r="424" spans="1:14" x14ac:dyDescent="0.25">
      <c r="A424">
        <v>423</v>
      </c>
      <c r="B424" t="s">
        <v>2063</v>
      </c>
      <c r="C424" t="s">
        <v>825</v>
      </c>
      <c r="D424" t="s">
        <v>1814</v>
      </c>
      <c r="E424">
        <v>1</v>
      </c>
      <c r="F424">
        <v>25</v>
      </c>
      <c r="G424">
        <v>25</v>
      </c>
      <c r="H424" s="9">
        <v>0.1</v>
      </c>
      <c r="I424">
        <v>4.63</v>
      </c>
      <c r="J424" s="10">
        <f t="shared" si="12"/>
        <v>3</v>
      </c>
      <c r="K424" s="11">
        <f t="shared" si="13"/>
        <v>0.1852</v>
      </c>
      <c r="L424" t="str">
        <f>VLOOKUP(C424,Customers!$A$2:$F$1001,2,FALSE())</f>
        <v>James Smith</v>
      </c>
      <c r="M424" t="str">
        <f>VLOOKUP(C424,Customers!$A$2:$F$1001,3,FALSE())</f>
        <v>South</v>
      </c>
      <c r="N424" t="str">
        <f>VLOOKUP(C424,Customers!$A$2:$F$1001,4,FALSE())</f>
        <v>Corporate</v>
      </c>
    </row>
    <row r="425" spans="1:14" x14ac:dyDescent="0.25">
      <c r="A425">
        <v>424</v>
      </c>
      <c r="B425" t="s">
        <v>2064</v>
      </c>
      <c r="C425" t="s">
        <v>827</v>
      </c>
      <c r="D425" t="s">
        <v>1812</v>
      </c>
      <c r="E425">
        <v>4</v>
      </c>
      <c r="F425">
        <v>300</v>
      </c>
      <c r="G425">
        <v>1200</v>
      </c>
      <c r="H425" s="9">
        <v>0.05</v>
      </c>
      <c r="I425">
        <v>305.08999999999997</v>
      </c>
      <c r="J425" s="10">
        <f t="shared" si="12"/>
        <v>11</v>
      </c>
      <c r="K425" s="11">
        <f t="shared" si="13"/>
        <v>0.25424166666666664</v>
      </c>
      <c r="L425" t="str">
        <f>VLOOKUP(C425,Customers!$A$2:$F$1001,2,FALSE())</f>
        <v>Linda Williams</v>
      </c>
      <c r="M425" t="str">
        <f>VLOOKUP(C425,Customers!$A$2:$F$1001,3,FALSE())</f>
        <v>South</v>
      </c>
      <c r="N425" t="str">
        <f>VLOOKUP(C425,Customers!$A$2:$F$1001,4,FALSE())</f>
        <v>Consumer</v>
      </c>
    </row>
    <row r="426" spans="1:14" x14ac:dyDescent="0.25">
      <c r="A426">
        <v>425</v>
      </c>
      <c r="B426" t="s">
        <v>1914</v>
      </c>
      <c r="C426" t="s">
        <v>829</v>
      </c>
      <c r="D426" t="s">
        <v>1816</v>
      </c>
      <c r="E426">
        <v>4</v>
      </c>
      <c r="F426">
        <v>30</v>
      </c>
      <c r="G426">
        <v>120</v>
      </c>
      <c r="H426" s="9">
        <v>0</v>
      </c>
      <c r="I426">
        <v>23.5</v>
      </c>
      <c r="J426" s="10">
        <f t="shared" si="12"/>
        <v>5</v>
      </c>
      <c r="K426" s="11">
        <f t="shared" si="13"/>
        <v>0.19583333333333333</v>
      </c>
      <c r="L426" t="str">
        <f>VLOOKUP(C426,Customers!$A$2:$F$1001,2,FALSE())</f>
        <v>Kenneth Harris</v>
      </c>
      <c r="M426" t="str">
        <f>VLOOKUP(C426,Customers!$A$2:$F$1001,3,FALSE())</f>
        <v>South</v>
      </c>
      <c r="N426" t="str">
        <f>VLOOKUP(C426,Customers!$A$2:$F$1001,4,FALSE())</f>
        <v>Home Office</v>
      </c>
    </row>
    <row r="427" spans="1:14" x14ac:dyDescent="0.25">
      <c r="A427">
        <v>426</v>
      </c>
      <c r="B427" t="s">
        <v>1948</v>
      </c>
      <c r="C427" t="s">
        <v>831</v>
      </c>
      <c r="D427" t="s">
        <v>1816</v>
      </c>
      <c r="E427">
        <v>3</v>
      </c>
      <c r="F427">
        <v>50</v>
      </c>
      <c r="G427">
        <v>150</v>
      </c>
      <c r="H427" s="9">
        <v>0.05</v>
      </c>
      <c r="I427">
        <v>18.100000000000001</v>
      </c>
      <c r="J427" s="10">
        <f t="shared" si="12"/>
        <v>3</v>
      </c>
      <c r="K427" s="11">
        <f t="shared" si="13"/>
        <v>0.12066666666666667</v>
      </c>
      <c r="L427" t="str">
        <f>VLOOKUP(C427,Customers!$A$2:$F$1001,2,FALSE())</f>
        <v>Deborah Allen</v>
      </c>
      <c r="M427" t="str">
        <f>VLOOKUP(C427,Customers!$A$2:$F$1001,3,FALSE())</f>
        <v>South</v>
      </c>
      <c r="N427" t="str">
        <f>VLOOKUP(C427,Customers!$A$2:$F$1001,4,FALSE())</f>
        <v>Corporate</v>
      </c>
    </row>
    <row r="428" spans="1:14" x14ac:dyDescent="0.25">
      <c r="A428">
        <v>427</v>
      </c>
      <c r="B428" t="s">
        <v>2010</v>
      </c>
      <c r="C428" t="s">
        <v>833</v>
      </c>
      <c r="D428" t="s">
        <v>1816</v>
      </c>
      <c r="E428">
        <v>1</v>
      </c>
      <c r="F428">
        <v>25</v>
      </c>
      <c r="G428">
        <v>25</v>
      </c>
      <c r="H428" s="9">
        <v>0</v>
      </c>
      <c r="I428">
        <v>4.18</v>
      </c>
      <c r="J428" s="10">
        <f t="shared" si="12"/>
        <v>8</v>
      </c>
      <c r="K428" s="11">
        <f t="shared" si="13"/>
        <v>0.16719999999999999</v>
      </c>
      <c r="L428" t="str">
        <f>VLOOKUP(C428,Customers!$A$2:$F$1001,2,FALSE())</f>
        <v>Edward Martinez</v>
      </c>
      <c r="M428" t="str">
        <f>VLOOKUP(C428,Customers!$A$2:$F$1001,3,FALSE())</f>
        <v>North</v>
      </c>
      <c r="N428" t="str">
        <f>VLOOKUP(C428,Customers!$A$2:$F$1001,4,FALSE())</f>
        <v>Consumer</v>
      </c>
    </row>
    <row r="429" spans="1:14" x14ac:dyDescent="0.25">
      <c r="A429">
        <v>428</v>
      </c>
      <c r="B429" t="s">
        <v>1863</v>
      </c>
      <c r="C429" t="s">
        <v>834</v>
      </c>
      <c r="D429" t="s">
        <v>1816</v>
      </c>
      <c r="E429">
        <v>4</v>
      </c>
      <c r="F429">
        <v>50</v>
      </c>
      <c r="G429">
        <v>200</v>
      </c>
      <c r="H429" s="9">
        <v>0.15</v>
      </c>
      <c r="I429">
        <v>-10</v>
      </c>
      <c r="J429" s="10">
        <f t="shared" si="12"/>
        <v>10</v>
      </c>
      <c r="K429" s="11">
        <f t="shared" si="13"/>
        <v>-0.05</v>
      </c>
      <c r="L429" t="str">
        <f>VLOOKUP(C429,Customers!$A$2:$F$1001,2,FALSE())</f>
        <v>Joseph King</v>
      </c>
      <c r="M429" t="str">
        <f>VLOOKUP(C429,Customers!$A$2:$F$1001,3,FALSE())</f>
        <v>North</v>
      </c>
      <c r="N429" t="str">
        <f>VLOOKUP(C429,Customers!$A$2:$F$1001,4,FALSE())</f>
        <v>Corporate</v>
      </c>
    </row>
    <row r="430" spans="1:14" x14ac:dyDescent="0.25">
      <c r="A430">
        <v>429</v>
      </c>
      <c r="B430" t="s">
        <v>2065</v>
      </c>
      <c r="C430" t="s">
        <v>835</v>
      </c>
      <c r="D430" t="s">
        <v>1816</v>
      </c>
      <c r="E430">
        <v>2</v>
      </c>
      <c r="F430">
        <v>25</v>
      </c>
      <c r="G430">
        <v>50</v>
      </c>
      <c r="H430" s="9">
        <v>0.2</v>
      </c>
      <c r="I430">
        <v>-2.5</v>
      </c>
      <c r="J430" s="10">
        <f t="shared" si="12"/>
        <v>12</v>
      </c>
      <c r="K430" s="11">
        <f t="shared" si="13"/>
        <v>-0.05</v>
      </c>
      <c r="L430" t="str">
        <f>VLOOKUP(C430,Customers!$A$2:$F$1001,2,FALSE())</f>
        <v>Richard Williams</v>
      </c>
      <c r="M430" t="str">
        <f>VLOOKUP(C430,Customers!$A$2:$F$1001,3,FALSE())</f>
        <v>East</v>
      </c>
      <c r="N430" t="str">
        <f>VLOOKUP(C430,Customers!$A$2:$F$1001,4,FALSE())</f>
        <v>Corporate</v>
      </c>
    </row>
    <row r="431" spans="1:14" x14ac:dyDescent="0.25">
      <c r="A431">
        <v>430</v>
      </c>
      <c r="B431" t="s">
        <v>2066</v>
      </c>
      <c r="C431" t="s">
        <v>837</v>
      </c>
      <c r="D431" t="s">
        <v>1816</v>
      </c>
      <c r="E431">
        <v>3</v>
      </c>
      <c r="F431">
        <v>300</v>
      </c>
      <c r="G431">
        <v>900</v>
      </c>
      <c r="H431" s="9">
        <v>0.15</v>
      </c>
      <c r="I431">
        <v>-39.71</v>
      </c>
      <c r="J431" s="10">
        <f t="shared" si="12"/>
        <v>8</v>
      </c>
      <c r="K431" s="11">
        <f t="shared" si="13"/>
        <v>-4.4122222222222222E-2</v>
      </c>
      <c r="L431" t="str">
        <f>VLOOKUP(C431,Customers!$A$2:$F$1001,2,FALSE())</f>
        <v>Kimberly Allen</v>
      </c>
      <c r="M431" t="str">
        <f>VLOOKUP(C431,Customers!$A$2:$F$1001,3,FALSE())</f>
        <v>South</v>
      </c>
      <c r="N431" t="str">
        <f>VLOOKUP(C431,Customers!$A$2:$F$1001,4,FALSE())</f>
        <v>Corporate</v>
      </c>
    </row>
    <row r="432" spans="1:14" x14ac:dyDescent="0.25">
      <c r="A432">
        <v>431</v>
      </c>
      <c r="B432" t="s">
        <v>1835</v>
      </c>
      <c r="C432" t="s">
        <v>839</v>
      </c>
      <c r="D432" t="s">
        <v>1816</v>
      </c>
      <c r="E432">
        <v>4</v>
      </c>
      <c r="F432">
        <v>300</v>
      </c>
      <c r="G432">
        <v>1200</v>
      </c>
      <c r="H432" s="9">
        <v>0.1</v>
      </c>
      <c r="I432">
        <v>37.049999999999997</v>
      </c>
      <c r="J432" s="10">
        <f t="shared" si="12"/>
        <v>10</v>
      </c>
      <c r="K432" s="11">
        <f t="shared" si="13"/>
        <v>3.0874999999999996E-2</v>
      </c>
      <c r="L432" t="str">
        <f>VLOOKUP(C432,Customers!$A$2:$F$1001,2,FALSE())</f>
        <v>Edward Nguyen</v>
      </c>
      <c r="M432" t="str">
        <f>VLOOKUP(C432,Customers!$A$2:$F$1001,3,FALSE())</f>
        <v>West</v>
      </c>
      <c r="N432" t="str">
        <f>VLOOKUP(C432,Customers!$A$2:$F$1001,4,FALSE())</f>
        <v>Home Office</v>
      </c>
    </row>
    <row r="433" spans="1:14" x14ac:dyDescent="0.25">
      <c r="A433">
        <v>432</v>
      </c>
      <c r="B433" t="s">
        <v>2042</v>
      </c>
      <c r="C433" t="s">
        <v>841</v>
      </c>
      <c r="D433" t="s">
        <v>1816</v>
      </c>
      <c r="E433">
        <v>2</v>
      </c>
      <c r="F433">
        <v>500</v>
      </c>
      <c r="G433">
        <v>1000</v>
      </c>
      <c r="H433" s="9">
        <v>0.1</v>
      </c>
      <c r="I433">
        <v>22.5</v>
      </c>
      <c r="J433" s="10">
        <f t="shared" si="12"/>
        <v>1</v>
      </c>
      <c r="K433" s="11">
        <f t="shared" si="13"/>
        <v>2.2499999999999999E-2</v>
      </c>
      <c r="L433" t="str">
        <f>VLOOKUP(C433,Customers!$A$2:$F$1001,2,FALSE())</f>
        <v>Michael Walker</v>
      </c>
      <c r="M433" t="str">
        <f>VLOOKUP(C433,Customers!$A$2:$F$1001,3,FALSE())</f>
        <v>East</v>
      </c>
      <c r="N433" t="str">
        <f>VLOOKUP(C433,Customers!$A$2:$F$1001,4,FALSE())</f>
        <v>Corporate</v>
      </c>
    </row>
    <row r="434" spans="1:14" x14ac:dyDescent="0.25">
      <c r="A434">
        <v>433</v>
      </c>
      <c r="B434" t="s">
        <v>1813</v>
      </c>
      <c r="C434" t="s">
        <v>843</v>
      </c>
      <c r="D434" t="s">
        <v>1812</v>
      </c>
      <c r="E434">
        <v>4</v>
      </c>
      <c r="F434">
        <v>50</v>
      </c>
      <c r="G434">
        <v>200</v>
      </c>
      <c r="H434" s="9">
        <v>0.25</v>
      </c>
      <c r="I434">
        <v>-2.23</v>
      </c>
      <c r="J434" s="10">
        <f t="shared" si="12"/>
        <v>2</v>
      </c>
      <c r="K434" s="11">
        <f t="shared" si="13"/>
        <v>-1.115E-2</v>
      </c>
      <c r="L434" t="str">
        <f>VLOOKUP(C434,Customers!$A$2:$F$1001,2,FALSE())</f>
        <v>Kevin Ramirez</v>
      </c>
      <c r="M434" t="str">
        <f>VLOOKUP(C434,Customers!$A$2:$F$1001,3,FALSE())</f>
        <v>North</v>
      </c>
      <c r="N434" t="str">
        <f>VLOOKUP(C434,Customers!$A$2:$F$1001,4,FALSE())</f>
        <v>Corporate</v>
      </c>
    </row>
    <row r="435" spans="1:14" x14ac:dyDescent="0.25">
      <c r="A435">
        <v>434</v>
      </c>
      <c r="B435" t="s">
        <v>2009</v>
      </c>
      <c r="C435" t="s">
        <v>845</v>
      </c>
      <c r="D435" t="s">
        <v>1816</v>
      </c>
      <c r="E435">
        <v>2</v>
      </c>
      <c r="F435">
        <v>25</v>
      </c>
      <c r="G435">
        <v>50</v>
      </c>
      <c r="H435" s="9">
        <v>0</v>
      </c>
      <c r="I435">
        <v>9.18</v>
      </c>
      <c r="J435" s="10">
        <f t="shared" si="12"/>
        <v>2</v>
      </c>
      <c r="K435" s="11">
        <f t="shared" si="13"/>
        <v>0.18359999999999999</v>
      </c>
      <c r="L435" t="str">
        <f>VLOOKUP(C435,Customers!$A$2:$F$1001,2,FALSE())</f>
        <v>Kenneth King</v>
      </c>
      <c r="M435" t="str">
        <f>VLOOKUP(C435,Customers!$A$2:$F$1001,3,FALSE())</f>
        <v>North</v>
      </c>
      <c r="N435" t="str">
        <f>VLOOKUP(C435,Customers!$A$2:$F$1001,4,FALSE())</f>
        <v>Consumer</v>
      </c>
    </row>
    <row r="436" spans="1:14" x14ac:dyDescent="0.25">
      <c r="A436">
        <v>435</v>
      </c>
      <c r="B436" t="s">
        <v>1970</v>
      </c>
      <c r="C436" t="s">
        <v>847</v>
      </c>
      <c r="D436" t="s">
        <v>1812</v>
      </c>
      <c r="E436">
        <v>3</v>
      </c>
      <c r="F436">
        <v>300</v>
      </c>
      <c r="G436">
        <v>900</v>
      </c>
      <c r="H436" s="9">
        <v>0</v>
      </c>
      <c r="I436">
        <v>312.81</v>
      </c>
      <c r="J436" s="10">
        <f t="shared" si="12"/>
        <v>12</v>
      </c>
      <c r="K436" s="11">
        <f t="shared" si="13"/>
        <v>0.34756666666666669</v>
      </c>
      <c r="L436" t="str">
        <f>VLOOKUP(C436,Customers!$A$2:$F$1001,2,FALSE())</f>
        <v>Daniel Johnson</v>
      </c>
      <c r="M436" t="str">
        <f>VLOOKUP(C436,Customers!$A$2:$F$1001,3,FALSE())</f>
        <v>North</v>
      </c>
      <c r="N436" t="str">
        <f>VLOOKUP(C436,Customers!$A$2:$F$1001,4,FALSE())</f>
        <v>Corporate</v>
      </c>
    </row>
    <row r="437" spans="1:14" x14ac:dyDescent="0.25">
      <c r="A437">
        <v>436</v>
      </c>
      <c r="B437" t="s">
        <v>2067</v>
      </c>
      <c r="C437" t="s">
        <v>849</v>
      </c>
      <c r="D437" t="s">
        <v>1814</v>
      </c>
      <c r="E437">
        <v>4</v>
      </c>
      <c r="F437">
        <v>30</v>
      </c>
      <c r="G437">
        <v>120</v>
      </c>
      <c r="H437" s="9">
        <v>0.1</v>
      </c>
      <c r="I437">
        <v>13.85</v>
      </c>
      <c r="J437" s="10">
        <f t="shared" si="12"/>
        <v>3</v>
      </c>
      <c r="K437" s="11">
        <f t="shared" si="13"/>
        <v>0.11541666666666667</v>
      </c>
      <c r="L437" t="str">
        <f>VLOOKUP(C437,Customers!$A$2:$F$1001,2,FALSE())</f>
        <v>Daniel Rodriguez</v>
      </c>
      <c r="M437" t="str">
        <f>VLOOKUP(C437,Customers!$A$2:$F$1001,3,FALSE())</f>
        <v>West</v>
      </c>
      <c r="N437" t="str">
        <f>VLOOKUP(C437,Customers!$A$2:$F$1001,4,FALSE())</f>
        <v>Home Office</v>
      </c>
    </row>
    <row r="438" spans="1:14" x14ac:dyDescent="0.25">
      <c r="A438">
        <v>437</v>
      </c>
      <c r="B438" t="s">
        <v>1823</v>
      </c>
      <c r="C438" t="s">
        <v>851</v>
      </c>
      <c r="D438" t="s">
        <v>1816</v>
      </c>
      <c r="E438">
        <v>4</v>
      </c>
      <c r="F438">
        <v>300</v>
      </c>
      <c r="G438">
        <v>1200</v>
      </c>
      <c r="H438" s="9">
        <v>0.05</v>
      </c>
      <c r="I438">
        <v>87.83</v>
      </c>
      <c r="J438" s="10">
        <f t="shared" si="12"/>
        <v>10</v>
      </c>
      <c r="K438" s="11">
        <f t="shared" si="13"/>
        <v>7.3191666666666669E-2</v>
      </c>
      <c r="L438" t="str">
        <f>VLOOKUP(C438,Customers!$A$2:$F$1001,2,FALSE())</f>
        <v>Jennifer Jones</v>
      </c>
      <c r="M438" t="str">
        <f>VLOOKUP(C438,Customers!$A$2:$F$1001,3,FALSE())</f>
        <v>North</v>
      </c>
      <c r="N438" t="str">
        <f>VLOOKUP(C438,Customers!$A$2:$F$1001,4,FALSE())</f>
        <v>Corporate</v>
      </c>
    </row>
    <row r="439" spans="1:14" x14ac:dyDescent="0.25">
      <c r="A439">
        <v>438</v>
      </c>
      <c r="B439" t="s">
        <v>2068</v>
      </c>
      <c r="C439" t="s">
        <v>853</v>
      </c>
      <c r="D439" t="s">
        <v>1814</v>
      </c>
      <c r="E439">
        <v>1</v>
      </c>
      <c r="F439">
        <v>30</v>
      </c>
      <c r="G439">
        <v>30</v>
      </c>
      <c r="H439" s="9">
        <v>0.05</v>
      </c>
      <c r="I439">
        <v>6.02</v>
      </c>
      <c r="J439" s="10">
        <f t="shared" si="12"/>
        <v>1</v>
      </c>
      <c r="K439" s="11">
        <f t="shared" si="13"/>
        <v>0.20066666666666666</v>
      </c>
      <c r="L439" t="str">
        <f>VLOOKUP(C439,Customers!$A$2:$F$1001,2,FALSE())</f>
        <v>Paul Lee</v>
      </c>
      <c r="M439" t="str">
        <f>VLOOKUP(C439,Customers!$A$2:$F$1001,3,FALSE())</f>
        <v>South</v>
      </c>
      <c r="N439" t="str">
        <f>VLOOKUP(C439,Customers!$A$2:$F$1001,4,FALSE())</f>
        <v>Corporate</v>
      </c>
    </row>
    <row r="440" spans="1:14" x14ac:dyDescent="0.25">
      <c r="A440">
        <v>439</v>
      </c>
      <c r="B440" t="s">
        <v>1881</v>
      </c>
      <c r="C440" t="s">
        <v>855</v>
      </c>
      <c r="D440" t="s">
        <v>1814</v>
      </c>
      <c r="E440">
        <v>3</v>
      </c>
      <c r="F440">
        <v>25</v>
      </c>
      <c r="G440">
        <v>75</v>
      </c>
      <c r="H440" s="9">
        <v>0</v>
      </c>
      <c r="I440">
        <v>16.739999999999998</v>
      </c>
      <c r="J440" s="10">
        <f t="shared" si="12"/>
        <v>7</v>
      </c>
      <c r="K440" s="11">
        <f t="shared" si="13"/>
        <v>0.22319999999999998</v>
      </c>
      <c r="L440" t="str">
        <f>VLOOKUP(C440,Customers!$A$2:$F$1001,2,FALSE())</f>
        <v>Anthony Robinson</v>
      </c>
      <c r="M440" t="str">
        <f>VLOOKUP(C440,Customers!$A$2:$F$1001,3,FALSE())</f>
        <v>West</v>
      </c>
      <c r="N440" t="str">
        <f>VLOOKUP(C440,Customers!$A$2:$F$1001,4,FALSE())</f>
        <v>Consumer</v>
      </c>
    </row>
    <row r="441" spans="1:14" x14ac:dyDescent="0.25">
      <c r="A441">
        <v>440</v>
      </c>
      <c r="B441" t="s">
        <v>1917</v>
      </c>
      <c r="C441" t="s">
        <v>857</v>
      </c>
      <c r="D441" t="s">
        <v>1814</v>
      </c>
      <c r="E441">
        <v>2</v>
      </c>
      <c r="F441">
        <v>300</v>
      </c>
      <c r="G441">
        <v>600</v>
      </c>
      <c r="H441" s="9">
        <v>0.1</v>
      </c>
      <c r="I441">
        <v>37.409999999999997</v>
      </c>
      <c r="J441" s="10">
        <f t="shared" si="12"/>
        <v>10</v>
      </c>
      <c r="K441" s="11">
        <f t="shared" si="13"/>
        <v>6.2349999999999996E-2</v>
      </c>
      <c r="L441" t="str">
        <f>VLOOKUP(C441,Customers!$A$2:$F$1001,2,FALSE())</f>
        <v>Betty Sanchez</v>
      </c>
      <c r="M441" t="str">
        <f>VLOOKUP(C441,Customers!$A$2:$F$1001,3,FALSE())</f>
        <v>West</v>
      </c>
      <c r="N441" t="str">
        <f>VLOOKUP(C441,Customers!$A$2:$F$1001,4,FALSE())</f>
        <v>Corporate</v>
      </c>
    </row>
    <row r="442" spans="1:14" x14ac:dyDescent="0.25">
      <c r="A442">
        <v>441</v>
      </c>
      <c r="B442" t="s">
        <v>1863</v>
      </c>
      <c r="C442" t="s">
        <v>859</v>
      </c>
      <c r="D442" t="s">
        <v>1812</v>
      </c>
      <c r="E442">
        <v>4</v>
      </c>
      <c r="F442">
        <v>300</v>
      </c>
      <c r="G442">
        <v>1200</v>
      </c>
      <c r="H442" s="9">
        <v>0</v>
      </c>
      <c r="I442">
        <v>434.66</v>
      </c>
      <c r="J442" s="10">
        <f t="shared" si="12"/>
        <v>10</v>
      </c>
      <c r="K442" s="11">
        <f t="shared" si="13"/>
        <v>0.36221666666666669</v>
      </c>
      <c r="L442" t="str">
        <f>VLOOKUP(C442,Customers!$A$2:$F$1001,2,FALSE())</f>
        <v>John Wright</v>
      </c>
      <c r="M442" t="str">
        <f>VLOOKUP(C442,Customers!$A$2:$F$1001,3,FALSE())</f>
        <v>North</v>
      </c>
      <c r="N442" t="str">
        <f>VLOOKUP(C442,Customers!$A$2:$F$1001,4,FALSE())</f>
        <v>Home Office</v>
      </c>
    </row>
    <row r="443" spans="1:14" x14ac:dyDescent="0.25">
      <c r="A443">
        <v>442</v>
      </c>
      <c r="B443" t="s">
        <v>2069</v>
      </c>
      <c r="C443" t="s">
        <v>861</v>
      </c>
      <c r="D443" t="s">
        <v>1814</v>
      </c>
      <c r="E443">
        <v>4</v>
      </c>
      <c r="F443">
        <v>25</v>
      </c>
      <c r="G443">
        <v>100</v>
      </c>
      <c r="H443" s="9">
        <v>0</v>
      </c>
      <c r="I443">
        <v>26.56</v>
      </c>
      <c r="J443" s="10">
        <f t="shared" si="12"/>
        <v>3</v>
      </c>
      <c r="K443" s="11">
        <f t="shared" si="13"/>
        <v>0.2656</v>
      </c>
      <c r="L443" t="str">
        <f>VLOOKUP(C443,Customers!$A$2:$F$1001,2,FALSE())</f>
        <v>Daniel Miller</v>
      </c>
      <c r="M443" t="str">
        <f>VLOOKUP(C443,Customers!$A$2:$F$1001,3,FALSE())</f>
        <v>North</v>
      </c>
      <c r="N443" t="str">
        <f>VLOOKUP(C443,Customers!$A$2:$F$1001,4,FALSE())</f>
        <v>Consumer</v>
      </c>
    </row>
    <row r="444" spans="1:14" x14ac:dyDescent="0.25">
      <c r="A444">
        <v>443</v>
      </c>
      <c r="B444" t="s">
        <v>1997</v>
      </c>
      <c r="C444" t="s">
        <v>863</v>
      </c>
      <c r="D444" t="s">
        <v>1814</v>
      </c>
      <c r="E444">
        <v>2</v>
      </c>
      <c r="F444">
        <v>300</v>
      </c>
      <c r="G444">
        <v>600</v>
      </c>
      <c r="H444" s="9">
        <v>0</v>
      </c>
      <c r="I444">
        <v>146.41</v>
      </c>
      <c r="J444" s="10">
        <f t="shared" si="12"/>
        <v>8</v>
      </c>
      <c r="K444" s="11">
        <f t="shared" si="13"/>
        <v>0.24401666666666666</v>
      </c>
      <c r="L444" t="str">
        <f>VLOOKUP(C444,Customers!$A$2:$F$1001,2,FALSE())</f>
        <v>Kenneth Robinson</v>
      </c>
      <c r="M444" t="str">
        <f>VLOOKUP(C444,Customers!$A$2:$F$1001,3,FALSE())</f>
        <v>North</v>
      </c>
      <c r="N444" t="str">
        <f>VLOOKUP(C444,Customers!$A$2:$F$1001,4,FALSE())</f>
        <v>Consumer</v>
      </c>
    </row>
    <row r="445" spans="1:14" x14ac:dyDescent="0.25">
      <c r="A445">
        <v>444</v>
      </c>
      <c r="B445" t="s">
        <v>1964</v>
      </c>
      <c r="C445" t="s">
        <v>865</v>
      </c>
      <c r="D445" t="s">
        <v>1814</v>
      </c>
      <c r="E445">
        <v>3</v>
      </c>
      <c r="F445">
        <v>30</v>
      </c>
      <c r="G445">
        <v>90</v>
      </c>
      <c r="H445" s="9">
        <v>0.05</v>
      </c>
      <c r="I445">
        <v>14</v>
      </c>
      <c r="J445" s="10">
        <f t="shared" si="12"/>
        <v>3</v>
      </c>
      <c r="K445" s="11">
        <f t="shared" si="13"/>
        <v>0.15555555555555556</v>
      </c>
      <c r="L445" t="str">
        <f>VLOOKUP(C445,Customers!$A$2:$F$1001,2,FALSE())</f>
        <v>Robert Davis</v>
      </c>
      <c r="M445" t="str">
        <f>VLOOKUP(C445,Customers!$A$2:$F$1001,3,FALSE())</f>
        <v>North</v>
      </c>
      <c r="N445" t="str">
        <f>VLOOKUP(C445,Customers!$A$2:$F$1001,4,FALSE())</f>
        <v>Corporate</v>
      </c>
    </row>
    <row r="446" spans="1:14" x14ac:dyDescent="0.25">
      <c r="A446">
        <v>445</v>
      </c>
      <c r="B446" t="s">
        <v>2070</v>
      </c>
      <c r="C446" t="s">
        <v>866</v>
      </c>
      <c r="D446" t="s">
        <v>1816</v>
      </c>
      <c r="E446">
        <v>1</v>
      </c>
      <c r="F446">
        <v>300</v>
      </c>
      <c r="G446">
        <v>300</v>
      </c>
      <c r="H446" s="9">
        <v>0.15</v>
      </c>
      <c r="I446">
        <v>-8.1999999999999993</v>
      </c>
      <c r="J446" s="10">
        <f t="shared" si="12"/>
        <v>1</v>
      </c>
      <c r="K446" s="11">
        <f t="shared" si="13"/>
        <v>-2.7333333333333331E-2</v>
      </c>
      <c r="L446" t="str">
        <f>VLOOKUP(C446,Customers!$A$2:$F$1001,2,FALSE())</f>
        <v>James Hernandez</v>
      </c>
      <c r="M446" t="str">
        <f>VLOOKUP(C446,Customers!$A$2:$F$1001,3,FALSE())</f>
        <v>North</v>
      </c>
      <c r="N446" t="str">
        <f>VLOOKUP(C446,Customers!$A$2:$F$1001,4,FALSE())</f>
        <v>Consumer</v>
      </c>
    </row>
    <row r="447" spans="1:14" x14ac:dyDescent="0.25">
      <c r="A447">
        <v>446</v>
      </c>
      <c r="B447" t="s">
        <v>1956</v>
      </c>
      <c r="C447" t="s">
        <v>868</v>
      </c>
      <c r="D447" t="s">
        <v>1816</v>
      </c>
      <c r="E447">
        <v>1</v>
      </c>
      <c r="F447">
        <v>50</v>
      </c>
      <c r="G447">
        <v>50</v>
      </c>
      <c r="H447" s="9">
        <v>0.05</v>
      </c>
      <c r="I447">
        <v>2.2999999999999998</v>
      </c>
      <c r="J447" s="10">
        <f t="shared" si="12"/>
        <v>6</v>
      </c>
      <c r="K447" s="11">
        <f t="shared" si="13"/>
        <v>4.5999999999999999E-2</v>
      </c>
      <c r="L447" t="str">
        <f>VLOOKUP(C447,Customers!$A$2:$F$1001,2,FALSE())</f>
        <v>John Lewis</v>
      </c>
      <c r="M447" t="str">
        <f>VLOOKUP(C447,Customers!$A$2:$F$1001,3,FALSE())</f>
        <v>East</v>
      </c>
      <c r="N447" t="str">
        <f>VLOOKUP(C447,Customers!$A$2:$F$1001,4,FALSE())</f>
        <v>Corporate</v>
      </c>
    </row>
    <row r="448" spans="1:14" x14ac:dyDescent="0.25">
      <c r="A448">
        <v>447</v>
      </c>
      <c r="B448" t="s">
        <v>1879</v>
      </c>
      <c r="C448" t="s">
        <v>870</v>
      </c>
      <c r="D448" t="s">
        <v>1812</v>
      </c>
      <c r="E448">
        <v>4</v>
      </c>
      <c r="F448">
        <v>500</v>
      </c>
      <c r="G448">
        <v>2000</v>
      </c>
      <c r="H448" s="9">
        <v>0.1</v>
      </c>
      <c r="I448">
        <v>398.37</v>
      </c>
      <c r="J448" s="10">
        <f t="shared" si="12"/>
        <v>7</v>
      </c>
      <c r="K448" s="11">
        <f t="shared" si="13"/>
        <v>0.199185</v>
      </c>
      <c r="L448" t="str">
        <f>VLOOKUP(C448,Customers!$A$2:$F$1001,2,FALSE())</f>
        <v>Anthony Flores</v>
      </c>
      <c r="M448" t="str">
        <f>VLOOKUP(C448,Customers!$A$2:$F$1001,3,FALSE())</f>
        <v>West</v>
      </c>
      <c r="N448" t="str">
        <f>VLOOKUP(C448,Customers!$A$2:$F$1001,4,FALSE())</f>
        <v>Consumer</v>
      </c>
    </row>
    <row r="449" spans="1:14" x14ac:dyDescent="0.25">
      <c r="A449">
        <v>448</v>
      </c>
      <c r="B449" t="s">
        <v>2033</v>
      </c>
      <c r="C449" t="s">
        <v>871</v>
      </c>
      <c r="D449" t="s">
        <v>1812</v>
      </c>
      <c r="E449">
        <v>2</v>
      </c>
      <c r="F449">
        <v>30</v>
      </c>
      <c r="G449">
        <v>60</v>
      </c>
      <c r="H449" s="9">
        <v>0.15</v>
      </c>
      <c r="I449">
        <v>8.85</v>
      </c>
      <c r="J449" s="10">
        <f t="shared" si="12"/>
        <v>1</v>
      </c>
      <c r="K449" s="11">
        <f t="shared" si="13"/>
        <v>0.14749999999999999</v>
      </c>
      <c r="L449" t="str">
        <f>VLOOKUP(C449,Customers!$A$2:$F$1001,2,FALSE())</f>
        <v>Donna Harris</v>
      </c>
      <c r="M449" t="str">
        <f>VLOOKUP(C449,Customers!$A$2:$F$1001,3,FALSE())</f>
        <v>East</v>
      </c>
      <c r="N449" t="str">
        <f>VLOOKUP(C449,Customers!$A$2:$F$1001,4,FALSE())</f>
        <v>Consumer</v>
      </c>
    </row>
    <row r="450" spans="1:14" x14ac:dyDescent="0.25">
      <c r="A450">
        <v>449</v>
      </c>
      <c r="B450" t="s">
        <v>1853</v>
      </c>
      <c r="C450" t="s">
        <v>872</v>
      </c>
      <c r="D450" t="s">
        <v>1816</v>
      </c>
      <c r="E450">
        <v>4</v>
      </c>
      <c r="F450">
        <v>50</v>
      </c>
      <c r="G450">
        <v>200</v>
      </c>
      <c r="H450" s="9">
        <v>0.05</v>
      </c>
      <c r="I450">
        <v>23.06</v>
      </c>
      <c r="J450" s="10">
        <f t="shared" ref="J450:J513" si="14">MONTH(B450)</f>
        <v>7</v>
      </c>
      <c r="K450" s="11">
        <f t="shared" ref="K450:K513" si="15">IF(G450=0,0,I450/G450)</f>
        <v>0.1153</v>
      </c>
      <c r="L450" t="str">
        <f>VLOOKUP(C450,Customers!$A$2:$F$1001,2,FALSE())</f>
        <v>Margaret Williams</v>
      </c>
      <c r="M450" t="str">
        <f>VLOOKUP(C450,Customers!$A$2:$F$1001,3,FALSE())</f>
        <v>East</v>
      </c>
      <c r="N450" t="str">
        <f>VLOOKUP(C450,Customers!$A$2:$F$1001,4,FALSE())</f>
        <v>Corporate</v>
      </c>
    </row>
    <row r="451" spans="1:14" x14ac:dyDescent="0.25">
      <c r="A451">
        <v>450</v>
      </c>
      <c r="B451" t="s">
        <v>1883</v>
      </c>
      <c r="C451" t="s">
        <v>874</v>
      </c>
      <c r="D451" t="s">
        <v>1812</v>
      </c>
      <c r="E451">
        <v>2</v>
      </c>
      <c r="F451">
        <v>25</v>
      </c>
      <c r="G451">
        <v>50</v>
      </c>
      <c r="H451" s="9">
        <v>0.15</v>
      </c>
      <c r="I451">
        <v>7.96</v>
      </c>
      <c r="J451" s="10">
        <f t="shared" si="14"/>
        <v>4</v>
      </c>
      <c r="K451" s="11">
        <f t="shared" si="15"/>
        <v>0.15920000000000001</v>
      </c>
      <c r="L451" t="str">
        <f>VLOOKUP(C451,Customers!$A$2:$F$1001,2,FALSE())</f>
        <v>Patricia Harris</v>
      </c>
      <c r="M451" t="str">
        <f>VLOOKUP(C451,Customers!$A$2:$F$1001,3,FALSE())</f>
        <v>North</v>
      </c>
      <c r="N451" t="str">
        <f>VLOOKUP(C451,Customers!$A$2:$F$1001,4,FALSE())</f>
        <v>Corporate</v>
      </c>
    </row>
    <row r="452" spans="1:14" x14ac:dyDescent="0.25">
      <c r="A452">
        <v>451</v>
      </c>
      <c r="B452" t="s">
        <v>1886</v>
      </c>
      <c r="C452" t="s">
        <v>876</v>
      </c>
      <c r="D452" t="s">
        <v>1816</v>
      </c>
      <c r="E452">
        <v>1</v>
      </c>
      <c r="F452">
        <v>30</v>
      </c>
      <c r="G452">
        <v>30</v>
      </c>
      <c r="H452" s="9">
        <v>0.1</v>
      </c>
      <c r="I452">
        <v>0.5</v>
      </c>
      <c r="J452" s="10">
        <f t="shared" si="14"/>
        <v>12</v>
      </c>
      <c r="K452" s="11">
        <f t="shared" si="15"/>
        <v>1.6666666666666666E-2</v>
      </c>
      <c r="L452" t="str">
        <f>VLOOKUP(C452,Customers!$A$2:$F$1001,2,FALSE())</f>
        <v>James Johnson</v>
      </c>
      <c r="M452" t="str">
        <f>VLOOKUP(C452,Customers!$A$2:$F$1001,3,FALSE())</f>
        <v>West</v>
      </c>
      <c r="N452" t="str">
        <f>VLOOKUP(C452,Customers!$A$2:$F$1001,4,FALSE())</f>
        <v>Corporate</v>
      </c>
    </row>
    <row r="453" spans="1:14" x14ac:dyDescent="0.25">
      <c r="A453">
        <v>452</v>
      </c>
      <c r="B453" t="s">
        <v>2007</v>
      </c>
      <c r="C453" t="s">
        <v>878</v>
      </c>
      <c r="D453" t="s">
        <v>1814</v>
      </c>
      <c r="E453">
        <v>3</v>
      </c>
      <c r="F453">
        <v>500</v>
      </c>
      <c r="G453">
        <v>1500</v>
      </c>
      <c r="H453" s="9">
        <v>0.1</v>
      </c>
      <c r="I453">
        <v>282.95999999999998</v>
      </c>
      <c r="J453" s="10">
        <f t="shared" si="14"/>
        <v>5</v>
      </c>
      <c r="K453" s="11">
        <f t="shared" si="15"/>
        <v>0.18863999999999997</v>
      </c>
      <c r="L453" t="str">
        <f>VLOOKUP(C453,Customers!$A$2:$F$1001,2,FALSE())</f>
        <v>William Scott</v>
      </c>
      <c r="M453" t="str">
        <f>VLOOKUP(C453,Customers!$A$2:$F$1001,3,FALSE())</f>
        <v>East</v>
      </c>
      <c r="N453" t="str">
        <f>VLOOKUP(C453,Customers!$A$2:$F$1001,4,FALSE())</f>
        <v>Corporate</v>
      </c>
    </row>
    <row r="454" spans="1:14" x14ac:dyDescent="0.25">
      <c r="A454">
        <v>453</v>
      </c>
      <c r="B454" t="s">
        <v>2050</v>
      </c>
      <c r="C454" t="s">
        <v>880</v>
      </c>
      <c r="D454" t="s">
        <v>1814</v>
      </c>
      <c r="E454">
        <v>2</v>
      </c>
      <c r="F454">
        <v>500</v>
      </c>
      <c r="G454">
        <v>1000</v>
      </c>
      <c r="H454" s="9">
        <v>0</v>
      </c>
      <c r="I454">
        <v>260.57</v>
      </c>
      <c r="J454" s="10">
        <f t="shared" si="14"/>
        <v>12</v>
      </c>
      <c r="K454" s="11">
        <f t="shared" si="15"/>
        <v>0.26056999999999997</v>
      </c>
      <c r="L454" t="str">
        <f>VLOOKUP(C454,Customers!$A$2:$F$1001,2,FALSE())</f>
        <v>Daniel Lewis</v>
      </c>
      <c r="M454" t="str">
        <f>VLOOKUP(C454,Customers!$A$2:$F$1001,3,FALSE())</f>
        <v>West</v>
      </c>
      <c r="N454" t="str">
        <f>VLOOKUP(C454,Customers!$A$2:$F$1001,4,FALSE())</f>
        <v>Corporate</v>
      </c>
    </row>
    <row r="455" spans="1:14" x14ac:dyDescent="0.25">
      <c r="A455">
        <v>454</v>
      </c>
      <c r="B455" t="s">
        <v>1821</v>
      </c>
      <c r="C455" t="s">
        <v>882</v>
      </c>
      <c r="D455" t="s">
        <v>1812</v>
      </c>
      <c r="E455">
        <v>1</v>
      </c>
      <c r="F455">
        <v>25</v>
      </c>
      <c r="G455">
        <v>25</v>
      </c>
      <c r="H455" s="9">
        <v>0</v>
      </c>
      <c r="I455">
        <v>9</v>
      </c>
      <c r="J455" s="10">
        <f t="shared" si="14"/>
        <v>2</v>
      </c>
      <c r="K455" s="11">
        <f t="shared" si="15"/>
        <v>0.36</v>
      </c>
      <c r="L455" t="str">
        <f>VLOOKUP(C455,Customers!$A$2:$F$1001,2,FALSE())</f>
        <v>Christopher Miller</v>
      </c>
      <c r="M455" t="str">
        <f>VLOOKUP(C455,Customers!$A$2:$F$1001,3,FALSE())</f>
        <v>West</v>
      </c>
      <c r="N455" t="str">
        <f>VLOOKUP(C455,Customers!$A$2:$F$1001,4,FALSE())</f>
        <v>Corporate</v>
      </c>
    </row>
    <row r="456" spans="1:14" x14ac:dyDescent="0.25">
      <c r="A456">
        <v>455</v>
      </c>
      <c r="B456" t="s">
        <v>1882</v>
      </c>
      <c r="C456" t="s">
        <v>884</v>
      </c>
      <c r="D456" t="s">
        <v>1816</v>
      </c>
      <c r="E456">
        <v>4</v>
      </c>
      <c r="F456">
        <v>25</v>
      </c>
      <c r="G456">
        <v>100</v>
      </c>
      <c r="H456" s="9">
        <v>0.25</v>
      </c>
      <c r="I456">
        <v>-5</v>
      </c>
      <c r="J456" s="10">
        <f t="shared" si="14"/>
        <v>7</v>
      </c>
      <c r="K456" s="11">
        <f t="shared" si="15"/>
        <v>-0.05</v>
      </c>
      <c r="L456" t="str">
        <f>VLOOKUP(C456,Customers!$A$2:$F$1001,2,FALSE())</f>
        <v>Charles Brown</v>
      </c>
      <c r="M456" t="str">
        <f>VLOOKUP(C456,Customers!$A$2:$F$1001,3,FALSE())</f>
        <v>South</v>
      </c>
      <c r="N456" t="str">
        <f>VLOOKUP(C456,Customers!$A$2:$F$1001,4,FALSE())</f>
        <v>Corporate</v>
      </c>
    </row>
    <row r="457" spans="1:14" x14ac:dyDescent="0.25">
      <c r="A457">
        <v>456</v>
      </c>
      <c r="B457" t="s">
        <v>2071</v>
      </c>
      <c r="C457" t="s">
        <v>886</v>
      </c>
      <c r="D457" t="s">
        <v>1816</v>
      </c>
      <c r="E457">
        <v>2</v>
      </c>
      <c r="F457">
        <v>30</v>
      </c>
      <c r="G457">
        <v>60</v>
      </c>
      <c r="H457" s="9">
        <v>0.15</v>
      </c>
      <c r="I457">
        <v>-2.87</v>
      </c>
      <c r="J457" s="10">
        <f t="shared" si="14"/>
        <v>10</v>
      </c>
      <c r="K457" s="11">
        <f t="shared" si="15"/>
        <v>-4.7833333333333332E-2</v>
      </c>
      <c r="L457" t="str">
        <f>VLOOKUP(C457,Customers!$A$2:$F$1001,2,FALSE())</f>
        <v>Joshua Davis</v>
      </c>
      <c r="M457" t="str">
        <f>VLOOKUP(C457,Customers!$A$2:$F$1001,3,FALSE())</f>
        <v>North</v>
      </c>
      <c r="N457" t="str">
        <f>VLOOKUP(C457,Customers!$A$2:$F$1001,4,FALSE())</f>
        <v>Corporate</v>
      </c>
    </row>
    <row r="458" spans="1:14" x14ac:dyDescent="0.25">
      <c r="A458">
        <v>457</v>
      </c>
      <c r="B458" t="s">
        <v>1994</v>
      </c>
      <c r="C458" t="s">
        <v>888</v>
      </c>
      <c r="D458" t="s">
        <v>1812</v>
      </c>
      <c r="E458">
        <v>3</v>
      </c>
      <c r="F458">
        <v>300</v>
      </c>
      <c r="G458">
        <v>900</v>
      </c>
      <c r="H458" s="9">
        <v>0.2</v>
      </c>
      <c r="I458">
        <v>39.97</v>
      </c>
      <c r="J458" s="10">
        <f t="shared" si="14"/>
        <v>7</v>
      </c>
      <c r="K458" s="11">
        <f t="shared" si="15"/>
        <v>4.441111111111111E-2</v>
      </c>
      <c r="L458" t="str">
        <f>VLOOKUP(C458,Customers!$A$2:$F$1001,2,FALSE())</f>
        <v>Charles Flores</v>
      </c>
      <c r="M458" t="str">
        <f>VLOOKUP(C458,Customers!$A$2:$F$1001,3,FALSE())</f>
        <v>North</v>
      </c>
      <c r="N458" t="str">
        <f>VLOOKUP(C458,Customers!$A$2:$F$1001,4,FALSE())</f>
        <v>Corporate</v>
      </c>
    </row>
    <row r="459" spans="1:14" x14ac:dyDescent="0.25">
      <c r="A459">
        <v>458</v>
      </c>
      <c r="B459" t="s">
        <v>2034</v>
      </c>
      <c r="C459" t="s">
        <v>890</v>
      </c>
      <c r="D459" t="s">
        <v>1816</v>
      </c>
      <c r="E459">
        <v>4</v>
      </c>
      <c r="F459">
        <v>25</v>
      </c>
      <c r="G459">
        <v>100</v>
      </c>
      <c r="H459" s="9">
        <v>0.2</v>
      </c>
      <c r="I459">
        <v>-5</v>
      </c>
      <c r="J459" s="10">
        <f t="shared" si="14"/>
        <v>11</v>
      </c>
      <c r="K459" s="11">
        <f t="shared" si="15"/>
        <v>-0.05</v>
      </c>
      <c r="L459" t="str">
        <f>VLOOKUP(C459,Customers!$A$2:$F$1001,2,FALSE())</f>
        <v>Sandra Jackson</v>
      </c>
      <c r="M459" t="str">
        <f>VLOOKUP(C459,Customers!$A$2:$F$1001,3,FALSE())</f>
        <v>South</v>
      </c>
      <c r="N459" t="str">
        <f>VLOOKUP(C459,Customers!$A$2:$F$1001,4,FALSE())</f>
        <v>Consumer</v>
      </c>
    </row>
    <row r="460" spans="1:14" x14ac:dyDescent="0.25">
      <c r="A460">
        <v>459</v>
      </c>
      <c r="B460" t="s">
        <v>1848</v>
      </c>
      <c r="C460" t="s">
        <v>892</v>
      </c>
      <c r="D460" t="s">
        <v>1814</v>
      </c>
      <c r="E460">
        <v>4</v>
      </c>
      <c r="F460">
        <v>300</v>
      </c>
      <c r="G460">
        <v>1200</v>
      </c>
      <c r="H460" s="9">
        <v>0</v>
      </c>
      <c r="I460">
        <v>316.14</v>
      </c>
      <c r="J460" s="10">
        <f t="shared" si="14"/>
        <v>3</v>
      </c>
      <c r="K460" s="11">
        <f t="shared" si="15"/>
        <v>0.26344999999999996</v>
      </c>
      <c r="L460" t="str">
        <f>VLOOKUP(C460,Customers!$A$2:$F$1001,2,FALSE())</f>
        <v>Betty Young</v>
      </c>
      <c r="M460" t="str">
        <f>VLOOKUP(C460,Customers!$A$2:$F$1001,3,FALSE())</f>
        <v>West</v>
      </c>
      <c r="N460" t="str">
        <f>VLOOKUP(C460,Customers!$A$2:$F$1001,4,FALSE())</f>
        <v>Consumer</v>
      </c>
    </row>
    <row r="461" spans="1:14" x14ac:dyDescent="0.25">
      <c r="A461">
        <v>460</v>
      </c>
      <c r="B461" t="s">
        <v>1987</v>
      </c>
      <c r="C461" t="s">
        <v>894</v>
      </c>
      <c r="D461" t="s">
        <v>1812</v>
      </c>
      <c r="E461">
        <v>1</v>
      </c>
      <c r="F461">
        <v>50</v>
      </c>
      <c r="G461">
        <v>50</v>
      </c>
      <c r="H461" s="9">
        <v>0.15</v>
      </c>
      <c r="I461">
        <v>8.23</v>
      </c>
      <c r="J461" s="10">
        <f t="shared" si="14"/>
        <v>5</v>
      </c>
      <c r="K461" s="11">
        <f t="shared" si="15"/>
        <v>0.1646</v>
      </c>
      <c r="L461" t="str">
        <f>VLOOKUP(C461,Customers!$A$2:$F$1001,2,FALSE())</f>
        <v>Richard Sanchez</v>
      </c>
      <c r="M461" t="str">
        <f>VLOOKUP(C461,Customers!$A$2:$F$1001,3,FALSE())</f>
        <v>South</v>
      </c>
      <c r="N461" t="str">
        <f>VLOOKUP(C461,Customers!$A$2:$F$1001,4,FALSE())</f>
        <v>Corporate</v>
      </c>
    </row>
    <row r="462" spans="1:14" x14ac:dyDescent="0.25">
      <c r="A462">
        <v>461</v>
      </c>
      <c r="B462" t="s">
        <v>1880</v>
      </c>
      <c r="C462" t="s">
        <v>896</v>
      </c>
      <c r="D462" t="s">
        <v>1812</v>
      </c>
      <c r="E462">
        <v>2</v>
      </c>
      <c r="F462">
        <v>500</v>
      </c>
      <c r="G462">
        <v>1000</v>
      </c>
      <c r="H462" s="9">
        <v>0.05</v>
      </c>
      <c r="I462">
        <v>285.88</v>
      </c>
      <c r="J462" s="10">
        <f t="shared" si="14"/>
        <v>3</v>
      </c>
      <c r="K462" s="11">
        <f t="shared" si="15"/>
        <v>0.28588000000000002</v>
      </c>
      <c r="L462" t="str">
        <f>VLOOKUP(C462,Customers!$A$2:$F$1001,2,FALSE())</f>
        <v>Carol Thompson</v>
      </c>
      <c r="M462" t="str">
        <f>VLOOKUP(C462,Customers!$A$2:$F$1001,3,FALSE())</f>
        <v>East</v>
      </c>
      <c r="N462" t="str">
        <f>VLOOKUP(C462,Customers!$A$2:$F$1001,4,FALSE())</f>
        <v>Home Office</v>
      </c>
    </row>
    <row r="463" spans="1:14" x14ac:dyDescent="0.25">
      <c r="A463">
        <v>462</v>
      </c>
      <c r="B463" t="s">
        <v>2072</v>
      </c>
      <c r="C463" t="s">
        <v>898</v>
      </c>
      <c r="D463" t="s">
        <v>1816</v>
      </c>
      <c r="E463">
        <v>4</v>
      </c>
      <c r="F463">
        <v>300</v>
      </c>
      <c r="G463">
        <v>1200</v>
      </c>
      <c r="H463" s="9">
        <v>0.15</v>
      </c>
      <c r="I463">
        <v>-9.5</v>
      </c>
      <c r="J463" s="10">
        <f t="shared" si="14"/>
        <v>4</v>
      </c>
      <c r="K463" s="11">
        <f t="shared" si="15"/>
        <v>-7.9166666666666673E-3</v>
      </c>
      <c r="L463" t="str">
        <f>VLOOKUP(C463,Customers!$A$2:$F$1001,2,FALSE())</f>
        <v>Daniel Garcia</v>
      </c>
      <c r="M463" t="str">
        <f>VLOOKUP(C463,Customers!$A$2:$F$1001,3,FALSE())</f>
        <v>East</v>
      </c>
      <c r="N463" t="str">
        <f>VLOOKUP(C463,Customers!$A$2:$F$1001,4,FALSE())</f>
        <v>Corporate</v>
      </c>
    </row>
    <row r="464" spans="1:14" x14ac:dyDescent="0.25">
      <c r="A464">
        <v>463</v>
      </c>
      <c r="B464" t="s">
        <v>2073</v>
      </c>
      <c r="C464" t="s">
        <v>899</v>
      </c>
      <c r="D464" t="s">
        <v>1812</v>
      </c>
      <c r="E464">
        <v>3</v>
      </c>
      <c r="F464">
        <v>500</v>
      </c>
      <c r="G464">
        <v>1500</v>
      </c>
      <c r="H464" s="9">
        <v>0</v>
      </c>
      <c r="I464">
        <v>455.04</v>
      </c>
      <c r="J464" s="10">
        <f t="shared" si="14"/>
        <v>7</v>
      </c>
      <c r="K464" s="11">
        <f t="shared" si="15"/>
        <v>0.30336000000000002</v>
      </c>
      <c r="L464" t="str">
        <f>VLOOKUP(C464,Customers!$A$2:$F$1001,2,FALSE())</f>
        <v>Richard Nguyen</v>
      </c>
      <c r="M464" t="str">
        <f>VLOOKUP(C464,Customers!$A$2:$F$1001,3,FALSE())</f>
        <v>North</v>
      </c>
      <c r="N464" t="str">
        <f>VLOOKUP(C464,Customers!$A$2:$F$1001,4,FALSE())</f>
        <v>Consumer</v>
      </c>
    </row>
    <row r="465" spans="1:14" x14ac:dyDescent="0.25">
      <c r="A465">
        <v>464</v>
      </c>
      <c r="B465" t="s">
        <v>1815</v>
      </c>
      <c r="C465" t="s">
        <v>901</v>
      </c>
      <c r="D465" t="s">
        <v>1816</v>
      </c>
      <c r="E465">
        <v>2</v>
      </c>
      <c r="F465">
        <v>300</v>
      </c>
      <c r="G465">
        <v>600</v>
      </c>
      <c r="H465" s="9">
        <v>0</v>
      </c>
      <c r="I465">
        <v>79.38</v>
      </c>
      <c r="J465" s="10">
        <f t="shared" si="14"/>
        <v>1</v>
      </c>
      <c r="K465" s="11">
        <f t="shared" si="15"/>
        <v>0.1323</v>
      </c>
      <c r="L465" t="str">
        <f>VLOOKUP(C465,Customers!$A$2:$F$1001,2,FALSE())</f>
        <v>Betty Gonzalez</v>
      </c>
      <c r="M465" t="str">
        <f>VLOOKUP(C465,Customers!$A$2:$F$1001,3,FALSE())</f>
        <v>South</v>
      </c>
      <c r="N465" t="str">
        <f>VLOOKUP(C465,Customers!$A$2:$F$1001,4,FALSE())</f>
        <v>Corporate</v>
      </c>
    </row>
    <row r="466" spans="1:14" x14ac:dyDescent="0.25">
      <c r="A466">
        <v>465</v>
      </c>
      <c r="B466" t="s">
        <v>1942</v>
      </c>
      <c r="C466" t="s">
        <v>903</v>
      </c>
      <c r="D466" t="s">
        <v>1816</v>
      </c>
      <c r="E466">
        <v>3</v>
      </c>
      <c r="F466">
        <v>50</v>
      </c>
      <c r="G466">
        <v>150</v>
      </c>
      <c r="H466" s="9">
        <v>0.15</v>
      </c>
      <c r="I466">
        <v>-7.5</v>
      </c>
      <c r="J466" s="10">
        <f t="shared" si="14"/>
        <v>4</v>
      </c>
      <c r="K466" s="11">
        <f t="shared" si="15"/>
        <v>-0.05</v>
      </c>
      <c r="L466" t="str">
        <f>VLOOKUP(C466,Customers!$A$2:$F$1001,2,FALSE())</f>
        <v>Christopher White</v>
      </c>
      <c r="M466" t="str">
        <f>VLOOKUP(C466,Customers!$A$2:$F$1001,3,FALSE())</f>
        <v>East</v>
      </c>
      <c r="N466" t="str">
        <f>VLOOKUP(C466,Customers!$A$2:$F$1001,4,FALSE())</f>
        <v>Consumer</v>
      </c>
    </row>
    <row r="467" spans="1:14" x14ac:dyDescent="0.25">
      <c r="A467">
        <v>466</v>
      </c>
      <c r="B467" t="s">
        <v>2062</v>
      </c>
      <c r="C467" t="s">
        <v>904</v>
      </c>
      <c r="D467" t="s">
        <v>1816</v>
      </c>
      <c r="E467">
        <v>4</v>
      </c>
      <c r="F467">
        <v>25</v>
      </c>
      <c r="G467">
        <v>100</v>
      </c>
      <c r="H467" s="9">
        <v>0.15</v>
      </c>
      <c r="I467">
        <v>2.31</v>
      </c>
      <c r="J467" s="10">
        <f t="shared" si="14"/>
        <v>6</v>
      </c>
      <c r="K467" s="11">
        <f t="shared" si="15"/>
        <v>2.3099999999999999E-2</v>
      </c>
      <c r="L467" t="str">
        <f>VLOOKUP(C467,Customers!$A$2:$F$1001,2,FALSE())</f>
        <v>Anthony Ramirez</v>
      </c>
      <c r="M467" t="str">
        <f>VLOOKUP(C467,Customers!$A$2:$F$1001,3,FALSE())</f>
        <v>East</v>
      </c>
      <c r="N467" t="str">
        <f>VLOOKUP(C467,Customers!$A$2:$F$1001,4,FALSE())</f>
        <v>Corporate</v>
      </c>
    </row>
    <row r="468" spans="1:14" x14ac:dyDescent="0.25">
      <c r="A468">
        <v>467</v>
      </c>
      <c r="B468" t="s">
        <v>1998</v>
      </c>
      <c r="C468" t="s">
        <v>906</v>
      </c>
      <c r="D468" t="s">
        <v>1816</v>
      </c>
      <c r="E468">
        <v>3</v>
      </c>
      <c r="F468">
        <v>50</v>
      </c>
      <c r="G468">
        <v>150</v>
      </c>
      <c r="H468" s="9">
        <v>0.1</v>
      </c>
      <c r="I468">
        <v>8.44</v>
      </c>
      <c r="J468" s="10">
        <f t="shared" si="14"/>
        <v>7</v>
      </c>
      <c r="K468" s="11">
        <f t="shared" si="15"/>
        <v>5.6266666666666666E-2</v>
      </c>
      <c r="L468" t="str">
        <f>VLOOKUP(C468,Customers!$A$2:$F$1001,2,FALSE())</f>
        <v>Richard Sanchez</v>
      </c>
      <c r="M468" t="str">
        <f>VLOOKUP(C468,Customers!$A$2:$F$1001,3,FALSE())</f>
        <v>South</v>
      </c>
      <c r="N468" t="str">
        <f>VLOOKUP(C468,Customers!$A$2:$F$1001,4,FALSE())</f>
        <v>Home Office</v>
      </c>
    </row>
    <row r="469" spans="1:14" x14ac:dyDescent="0.25">
      <c r="A469">
        <v>468</v>
      </c>
      <c r="B469" t="s">
        <v>1988</v>
      </c>
      <c r="C469" t="s">
        <v>907</v>
      </c>
      <c r="D469" t="s">
        <v>1816</v>
      </c>
      <c r="E469">
        <v>1</v>
      </c>
      <c r="F469">
        <v>25</v>
      </c>
      <c r="G469">
        <v>25</v>
      </c>
      <c r="H469" s="9">
        <v>0.05</v>
      </c>
      <c r="I469">
        <v>0.6</v>
      </c>
      <c r="J469" s="10">
        <f t="shared" si="14"/>
        <v>12</v>
      </c>
      <c r="K469" s="11">
        <f t="shared" si="15"/>
        <v>2.4E-2</v>
      </c>
      <c r="L469" t="str">
        <f>VLOOKUP(C469,Customers!$A$2:$F$1001,2,FALSE())</f>
        <v>Daniel Nguyen</v>
      </c>
      <c r="M469" t="str">
        <f>VLOOKUP(C469,Customers!$A$2:$F$1001,3,FALSE())</f>
        <v>North</v>
      </c>
      <c r="N469" t="str">
        <f>VLOOKUP(C469,Customers!$A$2:$F$1001,4,FALSE())</f>
        <v>Corporate</v>
      </c>
    </row>
    <row r="470" spans="1:14" x14ac:dyDescent="0.25">
      <c r="A470">
        <v>469</v>
      </c>
      <c r="B470" t="s">
        <v>2007</v>
      </c>
      <c r="C470" t="s">
        <v>908</v>
      </c>
      <c r="D470" t="s">
        <v>1812</v>
      </c>
      <c r="E470">
        <v>3</v>
      </c>
      <c r="F470">
        <v>25</v>
      </c>
      <c r="G470">
        <v>75</v>
      </c>
      <c r="H470" s="9">
        <v>0.05</v>
      </c>
      <c r="I470">
        <v>18.34</v>
      </c>
      <c r="J470" s="10">
        <f t="shared" si="14"/>
        <v>5</v>
      </c>
      <c r="K470" s="11">
        <f t="shared" si="15"/>
        <v>0.24453333333333332</v>
      </c>
      <c r="L470" t="str">
        <f>VLOOKUP(C470,Customers!$A$2:$F$1001,2,FALSE())</f>
        <v>Linda Garcia</v>
      </c>
      <c r="M470" t="str">
        <f>VLOOKUP(C470,Customers!$A$2:$F$1001,3,FALSE())</f>
        <v>East</v>
      </c>
      <c r="N470" t="str">
        <f>VLOOKUP(C470,Customers!$A$2:$F$1001,4,FALSE())</f>
        <v>Corporate</v>
      </c>
    </row>
    <row r="471" spans="1:14" x14ac:dyDescent="0.25">
      <c r="A471">
        <v>470</v>
      </c>
      <c r="B471" t="s">
        <v>1885</v>
      </c>
      <c r="C471" t="s">
        <v>910</v>
      </c>
      <c r="D471" t="s">
        <v>1814</v>
      </c>
      <c r="E471">
        <v>2</v>
      </c>
      <c r="F471">
        <v>500</v>
      </c>
      <c r="G471">
        <v>1000</v>
      </c>
      <c r="H471" s="9">
        <v>0.25</v>
      </c>
      <c r="I471">
        <v>-50</v>
      </c>
      <c r="J471" s="10">
        <f t="shared" si="14"/>
        <v>5</v>
      </c>
      <c r="K471" s="11">
        <f t="shared" si="15"/>
        <v>-0.05</v>
      </c>
      <c r="L471" t="str">
        <f>VLOOKUP(C471,Customers!$A$2:$F$1001,2,FALSE())</f>
        <v>Lisa Lee</v>
      </c>
      <c r="M471" t="str">
        <f>VLOOKUP(C471,Customers!$A$2:$F$1001,3,FALSE())</f>
        <v>North</v>
      </c>
      <c r="N471" t="str">
        <f>VLOOKUP(C471,Customers!$A$2:$F$1001,4,FALSE())</f>
        <v>Consumer</v>
      </c>
    </row>
    <row r="472" spans="1:14" x14ac:dyDescent="0.25">
      <c r="A472">
        <v>471</v>
      </c>
      <c r="B472" t="s">
        <v>1845</v>
      </c>
      <c r="C472" t="s">
        <v>912</v>
      </c>
      <c r="D472" t="s">
        <v>1814</v>
      </c>
      <c r="E472">
        <v>3</v>
      </c>
      <c r="F472">
        <v>50</v>
      </c>
      <c r="G472">
        <v>150</v>
      </c>
      <c r="H472" s="9">
        <v>0.05</v>
      </c>
      <c r="I472">
        <v>26.37</v>
      </c>
      <c r="J472" s="10">
        <f t="shared" si="14"/>
        <v>3</v>
      </c>
      <c r="K472" s="11">
        <f t="shared" si="15"/>
        <v>0.17580000000000001</v>
      </c>
      <c r="L472" t="str">
        <f>VLOOKUP(C472,Customers!$A$2:$F$1001,2,FALSE())</f>
        <v>Paul Taylor</v>
      </c>
      <c r="M472" t="str">
        <f>VLOOKUP(C472,Customers!$A$2:$F$1001,3,FALSE())</f>
        <v>West</v>
      </c>
      <c r="N472" t="str">
        <f>VLOOKUP(C472,Customers!$A$2:$F$1001,4,FALSE())</f>
        <v>Consumer</v>
      </c>
    </row>
    <row r="473" spans="1:14" x14ac:dyDescent="0.25">
      <c r="A473">
        <v>472</v>
      </c>
      <c r="B473" t="s">
        <v>1838</v>
      </c>
      <c r="C473" t="s">
        <v>914</v>
      </c>
      <c r="D473" t="s">
        <v>1812</v>
      </c>
      <c r="E473">
        <v>3</v>
      </c>
      <c r="F473">
        <v>300</v>
      </c>
      <c r="G473">
        <v>900</v>
      </c>
      <c r="H473" s="9">
        <v>0.05</v>
      </c>
      <c r="I473">
        <v>225.24</v>
      </c>
      <c r="J473" s="10">
        <f t="shared" si="14"/>
        <v>12</v>
      </c>
      <c r="K473" s="11">
        <f t="shared" si="15"/>
        <v>0.25026666666666669</v>
      </c>
      <c r="L473" t="str">
        <f>VLOOKUP(C473,Customers!$A$2:$F$1001,2,FALSE())</f>
        <v>Amanda Jackson</v>
      </c>
      <c r="M473" t="str">
        <f>VLOOKUP(C473,Customers!$A$2:$F$1001,3,FALSE())</f>
        <v>North</v>
      </c>
      <c r="N473" t="str">
        <f>VLOOKUP(C473,Customers!$A$2:$F$1001,4,FALSE())</f>
        <v>Home Office</v>
      </c>
    </row>
    <row r="474" spans="1:14" x14ac:dyDescent="0.25">
      <c r="A474">
        <v>473</v>
      </c>
      <c r="B474" t="s">
        <v>2006</v>
      </c>
      <c r="C474" t="s">
        <v>916</v>
      </c>
      <c r="D474" t="s">
        <v>1812</v>
      </c>
      <c r="E474">
        <v>1</v>
      </c>
      <c r="F474">
        <v>50</v>
      </c>
      <c r="G474">
        <v>50</v>
      </c>
      <c r="H474" s="9">
        <v>0.1</v>
      </c>
      <c r="I474">
        <v>14.42</v>
      </c>
      <c r="J474" s="10">
        <f t="shared" si="14"/>
        <v>2</v>
      </c>
      <c r="K474" s="11">
        <f t="shared" si="15"/>
        <v>0.28839999999999999</v>
      </c>
      <c r="L474" t="str">
        <f>VLOOKUP(C474,Customers!$A$2:$F$1001,2,FALSE())</f>
        <v>Michael Jones</v>
      </c>
      <c r="M474" t="str">
        <f>VLOOKUP(C474,Customers!$A$2:$F$1001,3,FALSE())</f>
        <v>North</v>
      </c>
      <c r="N474" t="str">
        <f>VLOOKUP(C474,Customers!$A$2:$F$1001,4,FALSE())</f>
        <v>Corporate</v>
      </c>
    </row>
    <row r="475" spans="1:14" x14ac:dyDescent="0.25">
      <c r="A475">
        <v>474</v>
      </c>
      <c r="B475" t="s">
        <v>1930</v>
      </c>
      <c r="C475" t="s">
        <v>917</v>
      </c>
      <c r="D475" t="s">
        <v>1814</v>
      </c>
      <c r="E475">
        <v>3</v>
      </c>
      <c r="F475">
        <v>500</v>
      </c>
      <c r="G475">
        <v>1500</v>
      </c>
      <c r="H475" s="9">
        <v>0.05</v>
      </c>
      <c r="I475">
        <v>299.06</v>
      </c>
      <c r="J475" s="10">
        <f t="shared" si="14"/>
        <v>7</v>
      </c>
      <c r="K475" s="11">
        <f t="shared" si="15"/>
        <v>0.19937333333333335</v>
      </c>
      <c r="L475" t="str">
        <f>VLOOKUP(C475,Customers!$A$2:$F$1001,2,FALSE())</f>
        <v>Edward Garcia</v>
      </c>
      <c r="M475" t="str">
        <f>VLOOKUP(C475,Customers!$A$2:$F$1001,3,FALSE())</f>
        <v>South</v>
      </c>
      <c r="N475" t="str">
        <f>VLOOKUP(C475,Customers!$A$2:$F$1001,4,FALSE())</f>
        <v>Corporate</v>
      </c>
    </row>
    <row r="476" spans="1:14" x14ac:dyDescent="0.25">
      <c r="A476">
        <v>475</v>
      </c>
      <c r="B476" t="s">
        <v>2074</v>
      </c>
      <c r="C476" t="s">
        <v>918</v>
      </c>
      <c r="D476" t="s">
        <v>1814</v>
      </c>
      <c r="E476">
        <v>3</v>
      </c>
      <c r="F476">
        <v>25</v>
      </c>
      <c r="G476">
        <v>75</v>
      </c>
      <c r="H476" s="9">
        <v>0.1</v>
      </c>
      <c r="I476">
        <v>10.82</v>
      </c>
      <c r="J476" s="10">
        <f t="shared" si="14"/>
        <v>1</v>
      </c>
      <c r="K476" s="11">
        <f t="shared" si="15"/>
        <v>0.14426666666666668</v>
      </c>
      <c r="L476" t="str">
        <f>VLOOKUP(C476,Customers!$A$2:$F$1001,2,FALSE())</f>
        <v>Melissa Lopez</v>
      </c>
      <c r="M476" t="str">
        <f>VLOOKUP(C476,Customers!$A$2:$F$1001,3,FALSE())</f>
        <v>South</v>
      </c>
      <c r="N476" t="str">
        <f>VLOOKUP(C476,Customers!$A$2:$F$1001,4,FALSE())</f>
        <v>Consumer</v>
      </c>
    </row>
    <row r="477" spans="1:14" x14ac:dyDescent="0.25">
      <c r="A477">
        <v>476</v>
      </c>
      <c r="B477" t="s">
        <v>2075</v>
      </c>
      <c r="C477" t="s">
        <v>920</v>
      </c>
      <c r="D477" t="s">
        <v>1814</v>
      </c>
      <c r="E477">
        <v>4</v>
      </c>
      <c r="F477">
        <v>500</v>
      </c>
      <c r="G477">
        <v>2000</v>
      </c>
      <c r="H477" s="9">
        <v>0.05</v>
      </c>
      <c r="I477">
        <v>338.48</v>
      </c>
      <c r="J477" s="10">
        <f t="shared" si="14"/>
        <v>8</v>
      </c>
      <c r="K477" s="11">
        <f t="shared" si="15"/>
        <v>0.16924</v>
      </c>
      <c r="L477" t="str">
        <f>VLOOKUP(C477,Customers!$A$2:$F$1001,2,FALSE())</f>
        <v>John Gonzalez</v>
      </c>
      <c r="M477" t="str">
        <f>VLOOKUP(C477,Customers!$A$2:$F$1001,3,FALSE())</f>
        <v>South</v>
      </c>
      <c r="N477" t="str">
        <f>VLOOKUP(C477,Customers!$A$2:$F$1001,4,FALSE())</f>
        <v>Consumer</v>
      </c>
    </row>
    <row r="478" spans="1:14" x14ac:dyDescent="0.25">
      <c r="A478">
        <v>477</v>
      </c>
      <c r="B478" t="s">
        <v>2076</v>
      </c>
      <c r="C478" t="s">
        <v>921</v>
      </c>
      <c r="D478" t="s">
        <v>1814</v>
      </c>
      <c r="E478">
        <v>4</v>
      </c>
      <c r="F478">
        <v>30</v>
      </c>
      <c r="G478">
        <v>120</v>
      </c>
      <c r="H478" s="9">
        <v>0.15</v>
      </c>
      <c r="I478">
        <v>11</v>
      </c>
      <c r="J478" s="10">
        <f t="shared" si="14"/>
        <v>4</v>
      </c>
      <c r="K478" s="11">
        <f t="shared" si="15"/>
        <v>9.166666666666666E-2</v>
      </c>
      <c r="L478" t="str">
        <f>VLOOKUP(C478,Customers!$A$2:$F$1001,2,FALSE())</f>
        <v>Donald Moore</v>
      </c>
      <c r="M478" t="str">
        <f>VLOOKUP(C478,Customers!$A$2:$F$1001,3,FALSE())</f>
        <v>South</v>
      </c>
      <c r="N478" t="str">
        <f>VLOOKUP(C478,Customers!$A$2:$F$1001,4,FALSE())</f>
        <v>Consumer</v>
      </c>
    </row>
    <row r="479" spans="1:14" x14ac:dyDescent="0.25">
      <c r="A479">
        <v>478</v>
      </c>
      <c r="B479" t="s">
        <v>1971</v>
      </c>
      <c r="C479" t="s">
        <v>923</v>
      </c>
      <c r="D479" t="s">
        <v>1814</v>
      </c>
      <c r="E479">
        <v>2</v>
      </c>
      <c r="F479">
        <v>30</v>
      </c>
      <c r="G479">
        <v>60</v>
      </c>
      <c r="H479" s="9">
        <v>0.2</v>
      </c>
      <c r="I479">
        <v>-0.08</v>
      </c>
      <c r="J479" s="10">
        <f t="shared" si="14"/>
        <v>4</v>
      </c>
      <c r="K479" s="11">
        <f t="shared" si="15"/>
        <v>-1.3333333333333333E-3</v>
      </c>
      <c r="L479" t="str">
        <f>VLOOKUP(C479,Customers!$A$2:$F$1001,2,FALSE())</f>
        <v>Michelle Harris</v>
      </c>
      <c r="M479" t="str">
        <f>VLOOKUP(C479,Customers!$A$2:$F$1001,3,FALSE())</f>
        <v>West</v>
      </c>
      <c r="N479" t="str">
        <f>VLOOKUP(C479,Customers!$A$2:$F$1001,4,FALSE())</f>
        <v>Consumer</v>
      </c>
    </row>
    <row r="480" spans="1:14" x14ac:dyDescent="0.25">
      <c r="A480">
        <v>479</v>
      </c>
      <c r="B480" t="s">
        <v>1858</v>
      </c>
      <c r="C480" t="s">
        <v>925</v>
      </c>
      <c r="D480" t="s">
        <v>1816</v>
      </c>
      <c r="E480">
        <v>4</v>
      </c>
      <c r="F480">
        <v>300</v>
      </c>
      <c r="G480">
        <v>1200</v>
      </c>
      <c r="H480" s="9">
        <v>0.2</v>
      </c>
      <c r="I480">
        <v>-60</v>
      </c>
      <c r="J480" s="10">
        <f t="shared" si="14"/>
        <v>8</v>
      </c>
      <c r="K480" s="11">
        <f t="shared" si="15"/>
        <v>-0.05</v>
      </c>
      <c r="L480" t="str">
        <f>VLOOKUP(C480,Customers!$A$2:$F$1001,2,FALSE())</f>
        <v>Christopher Sanchez</v>
      </c>
      <c r="M480" t="str">
        <f>VLOOKUP(C480,Customers!$A$2:$F$1001,3,FALSE())</f>
        <v>South</v>
      </c>
      <c r="N480" t="str">
        <f>VLOOKUP(C480,Customers!$A$2:$F$1001,4,FALSE())</f>
        <v>Consumer</v>
      </c>
    </row>
    <row r="481" spans="1:14" x14ac:dyDescent="0.25">
      <c r="A481">
        <v>480</v>
      </c>
      <c r="B481" t="s">
        <v>2077</v>
      </c>
      <c r="C481" t="s">
        <v>927</v>
      </c>
      <c r="D481" t="s">
        <v>1812</v>
      </c>
      <c r="E481">
        <v>4</v>
      </c>
      <c r="F481">
        <v>500</v>
      </c>
      <c r="G481">
        <v>2000</v>
      </c>
      <c r="H481" s="9">
        <v>0.1</v>
      </c>
      <c r="I481">
        <v>496.66</v>
      </c>
      <c r="J481" s="10">
        <f t="shared" si="14"/>
        <v>6</v>
      </c>
      <c r="K481" s="11">
        <f t="shared" si="15"/>
        <v>0.24833000000000002</v>
      </c>
      <c r="L481" t="str">
        <f>VLOOKUP(C481,Customers!$A$2:$F$1001,2,FALSE())</f>
        <v>Edward Taylor</v>
      </c>
      <c r="M481" t="str">
        <f>VLOOKUP(C481,Customers!$A$2:$F$1001,3,FALSE())</f>
        <v>South</v>
      </c>
      <c r="N481" t="str">
        <f>VLOOKUP(C481,Customers!$A$2:$F$1001,4,FALSE())</f>
        <v>Home Office</v>
      </c>
    </row>
    <row r="482" spans="1:14" x14ac:dyDescent="0.25">
      <c r="A482">
        <v>481</v>
      </c>
      <c r="B482" t="s">
        <v>2078</v>
      </c>
      <c r="C482" t="s">
        <v>929</v>
      </c>
      <c r="D482" t="s">
        <v>1816</v>
      </c>
      <c r="E482">
        <v>4</v>
      </c>
      <c r="F482">
        <v>300</v>
      </c>
      <c r="G482">
        <v>1200</v>
      </c>
      <c r="H482" s="9">
        <v>0.05</v>
      </c>
      <c r="I482">
        <v>49.36</v>
      </c>
      <c r="J482" s="10">
        <f t="shared" si="14"/>
        <v>6</v>
      </c>
      <c r="K482" s="11">
        <f t="shared" si="15"/>
        <v>4.1133333333333334E-2</v>
      </c>
      <c r="L482" t="str">
        <f>VLOOKUP(C482,Customers!$A$2:$F$1001,2,FALSE())</f>
        <v>Linda Taylor</v>
      </c>
      <c r="M482" t="str">
        <f>VLOOKUP(C482,Customers!$A$2:$F$1001,3,FALSE())</f>
        <v>South</v>
      </c>
      <c r="N482" t="str">
        <f>VLOOKUP(C482,Customers!$A$2:$F$1001,4,FALSE())</f>
        <v>Corporate</v>
      </c>
    </row>
    <row r="483" spans="1:14" x14ac:dyDescent="0.25">
      <c r="A483">
        <v>482</v>
      </c>
      <c r="B483" t="s">
        <v>1874</v>
      </c>
      <c r="C483" t="s">
        <v>931</v>
      </c>
      <c r="D483" t="s">
        <v>1814</v>
      </c>
      <c r="E483">
        <v>4</v>
      </c>
      <c r="F483">
        <v>300</v>
      </c>
      <c r="G483">
        <v>1200</v>
      </c>
      <c r="H483" s="9">
        <v>0.1</v>
      </c>
      <c r="I483">
        <v>213.49</v>
      </c>
      <c r="J483" s="10">
        <f t="shared" si="14"/>
        <v>4</v>
      </c>
      <c r="K483" s="11">
        <f t="shared" si="15"/>
        <v>0.17790833333333333</v>
      </c>
      <c r="L483" t="str">
        <f>VLOOKUP(C483,Customers!$A$2:$F$1001,2,FALSE())</f>
        <v>Kevin Rodriguez</v>
      </c>
      <c r="M483" t="str">
        <f>VLOOKUP(C483,Customers!$A$2:$F$1001,3,FALSE())</f>
        <v>North</v>
      </c>
      <c r="N483" t="str">
        <f>VLOOKUP(C483,Customers!$A$2:$F$1001,4,FALSE())</f>
        <v>Consumer</v>
      </c>
    </row>
    <row r="484" spans="1:14" x14ac:dyDescent="0.25">
      <c r="A484">
        <v>483</v>
      </c>
      <c r="B484" t="s">
        <v>1819</v>
      </c>
      <c r="C484" t="s">
        <v>933</v>
      </c>
      <c r="D484" t="s">
        <v>1814</v>
      </c>
      <c r="E484">
        <v>1</v>
      </c>
      <c r="F484">
        <v>30</v>
      </c>
      <c r="G484">
        <v>30</v>
      </c>
      <c r="H484" s="9">
        <v>0.15</v>
      </c>
      <c r="I484">
        <v>2.2599999999999998</v>
      </c>
      <c r="J484" s="10">
        <f t="shared" si="14"/>
        <v>4</v>
      </c>
      <c r="K484" s="11">
        <f t="shared" si="15"/>
        <v>7.5333333333333322E-2</v>
      </c>
      <c r="L484" t="str">
        <f>VLOOKUP(C484,Customers!$A$2:$F$1001,2,FALSE())</f>
        <v>Melissa White</v>
      </c>
      <c r="M484" t="str">
        <f>VLOOKUP(C484,Customers!$A$2:$F$1001,3,FALSE())</f>
        <v>East</v>
      </c>
      <c r="N484" t="str">
        <f>VLOOKUP(C484,Customers!$A$2:$F$1001,4,FALSE())</f>
        <v>Consumer</v>
      </c>
    </row>
    <row r="485" spans="1:14" x14ac:dyDescent="0.25">
      <c r="A485">
        <v>484</v>
      </c>
      <c r="B485" t="s">
        <v>1815</v>
      </c>
      <c r="C485" t="s">
        <v>935</v>
      </c>
      <c r="D485" t="s">
        <v>1814</v>
      </c>
      <c r="E485">
        <v>4</v>
      </c>
      <c r="F485">
        <v>300</v>
      </c>
      <c r="G485">
        <v>1200</v>
      </c>
      <c r="H485" s="9">
        <v>0.1</v>
      </c>
      <c r="I485">
        <v>202.11</v>
      </c>
      <c r="J485" s="10">
        <f t="shared" si="14"/>
        <v>1</v>
      </c>
      <c r="K485" s="11">
        <f t="shared" si="15"/>
        <v>0.16842500000000002</v>
      </c>
      <c r="L485" t="str">
        <f>VLOOKUP(C485,Customers!$A$2:$F$1001,2,FALSE())</f>
        <v>Donald Gonzalez</v>
      </c>
      <c r="M485" t="str">
        <f>VLOOKUP(C485,Customers!$A$2:$F$1001,3,FALSE())</f>
        <v>North</v>
      </c>
      <c r="N485" t="str">
        <f>VLOOKUP(C485,Customers!$A$2:$F$1001,4,FALSE())</f>
        <v>Consumer</v>
      </c>
    </row>
    <row r="486" spans="1:14" x14ac:dyDescent="0.25">
      <c r="A486">
        <v>485</v>
      </c>
      <c r="B486" t="s">
        <v>1965</v>
      </c>
      <c r="C486" t="s">
        <v>937</v>
      </c>
      <c r="D486" t="s">
        <v>1816</v>
      </c>
      <c r="E486">
        <v>1</v>
      </c>
      <c r="F486">
        <v>30</v>
      </c>
      <c r="G486">
        <v>30</v>
      </c>
      <c r="H486" s="9">
        <v>0.1</v>
      </c>
      <c r="I486">
        <v>-7.0000000000000007E-2</v>
      </c>
      <c r="J486" s="10">
        <f t="shared" si="14"/>
        <v>12</v>
      </c>
      <c r="K486" s="11">
        <f t="shared" si="15"/>
        <v>-2.3333333333333335E-3</v>
      </c>
      <c r="L486" t="str">
        <f>VLOOKUP(C486,Customers!$A$2:$F$1001,2,FALSE())</f>
        <v>George Johnson</v>
      </c>
      <c r="M486" t="str">
        <f>VLOOKUP(C486,Customers!$A$2:$F$1001,3,FALSE())</f>
        <v>East</v>
      </c>
      <c r="N486" t="str">
        <f>VLOOKUP(C486,Customers!$A$2:$F$1001,4,FALSE())</f>
        <v>Home Office</v>
      </c>
    </row>
    <row r="487" spans="1:14" x14ac:dyDescent="0.25">
      <c r="A487">
        <v>486</v>
      </c>
      <c r="B487" t="s">
        <v>1869</v>
      </c>
      <c r="C487" t="s">
        <v>939</v>
      </c>
      <c r="D487" t="s">
        <v>1816</v>
      </c>
      <c r="E487">
        <v>1</v>
      </c>
      <c r="F487">
        <v>25</v>
      </c>
      <c r="G487">
        <v>25</v>
      </c>
      <c r="H487" s="9">
        <v>0.1</v>
      </c>
      <c r="I487">
        <v>0.06</v>
      </c>
      <c r="J487" s="10">
        <f t="shared" si="14"/>
        <v>4</v>
      </c>
      <c r="K487" s="11">
        <f t="shared" si="15"/>
        <v>2.3999999999999998E-3</v>
      </c>
      <c r="L487" t="str">
        <f>VLOOKUP(C487,Customers!$A$2:$F$1001,2,FALSE())</f>
        <v>Joseph Taylor</v>
      </c>
      <c r="M487" t="str">
        <f>VLOOKUP(C487,Customers!$A$2:$F$1001,3,FALSE())</f>
        <v>North</v>
      </c>
      <c r="N487" t="str">
        <f>VLOOKUP(C487,Customers!$A$2:$F$1001,4,FALSE())</f>
        <v>Consumer</v>
      </c>
    </row>
    <row r="488" spans="1:14" x14ac:dyDescent="0.25">
      <c r="A488">
        <v>487</v>
      </c>
      <c r="B488" t="s">
        <v>1918</v>
      </c>
      <c r="C488" t="s">
        <v>940</v>
      </c>
      <c r="D488" t="s">
        <v>1814</v>
      </c>
      <c r="E488">
        <v>4</v>
      </c>
      <c r="F488">
        <v>500</v>
      </c>
      <c r="G488">
        <v>2000</v>
      </c>
      <c r="H488" s="9">
        <v>0.1</v>
      </c>
      <c r="I488">
        <v>190.29</v>
      </c>
      <c r="J488" s="10">
        <f t="shared" si="14"/>
        <v>7</v>
      </c>
      <c r="K488" s="11">
        <f t="shared" si="15"/>
        <v>9.5144999999999993E-2</v>
      </c>
      <c r="L488" t="str">
        <f>VLOOKUP(C488,Customers!$A$2:$F$1001,2,FALSE())</f>
        <v>Lisa Jackson</v>
      </c>
      <c r="M488" t="str">
        <f>VLOOKUP(C488,Customers!$A$2:$F$1001,3,FALSE())</f>
        <v>West</v>
      </c>
      <c r="N488" t="str">
        <f>VLOOKUP(C488,Customers!$A$2:$F$1001,4,FALSE())</f>
        <v>Corporate</v>
      </c>
    </row>
    <row r="489" spans="1:14" x14ac:dyDescent="0.25">
      <c r="A489">
        <v>488</v>
      </c>
      <c r="B489" t="s">
        <v>2079</v>
      </c>
      <c r="C489" t="s">
        <v>941</v>
      </c>
      <c r="D489" t="s">
        <v>1816</v>
      </c>
      <c r="E489">
        <v>3</v>
      </c>
      <c r="F489">
        <v>300</v>
      </c>
      <c r="G489">
        <v>900</v>
      </c>
      <c r="H489" s="9">
        <v>0.1</v>
      </c>
      <c r="I489">
        <v>33.76</v>
      </c>
      <c r="J489" s="10">
        <f t="shared" si="14"/>
        <v>6</v>
      </c>
      <c r="K489" s="11">
        <f t="shared" si="15"/>
        <v>3.7511111111111106E-2</v>
      </c>
      <c r="L489" t="str">
        <f>VLOOKUP(C489,Customers!$A$2:$F$1001,2,FALSE())</f>
        <v>Linda Martinez</v>
      </c>
      <c r="M489" t="str">
        <f>VLOOKUP(C489,Customers!$A$2:$F$1001,3,FALSE())</f>
        <v>South</v>
      </c>
      <c r="N489" t="str">
        <f>VLOOKUP(C489,Customers!$A$2:$F$1001,4,FALSE())</f>
        <v>Home Office</v>
      </c>
    </row>
    <row r="490" spans="1:14" x14ac:dyDescent="0.25">
      <c r="A490">
        <v>489</v>
      </c>
      <c r="B490" t="s">
        <v>1843</v>
      </c>
      <c r="C490" t="s">
        <v>943</v>
      </c>
      <c r="D490" t="s">
        <v>1816</v>
      </c>
      <c r="E490">
        <v>1</v>
      </c>
      <c r="F490">
        <v>30</v>
      </c>
      <c r="G490">
        <v>30</v>
      </c>
      <c r="H490" s="9">
        <v>0</v>
      </c>
      <c r="I490">
        <v>4.5599999999999996</v>
      </c>
      <c r="J490" s="10">
        <f t="shared" si="14"/>
        <v>5</v>
      </c>
      <c r="K490" s="11">
        <f t="shared" si="15"/>
        <v>0.152</v>
      </c>
      <c r="L490" t="str">
        <f>VLOOKUP(C490,Customers!$A$2:$F$1001,2,FALSE())</f>
        <v>John Thompson</v>
      </c>
      <c r="M490" t="str">
        <f>VLOOKUP(C490,Customers!$A$2:$F$1001,3,FALSE())</f>
        <v>West</v>
      </c>
      <c r="N490" t="str">
        <f>VLOOKUP(C490,Customers!$A$2:$F$1001,4,FALSE())</f>
        <v>Consumer</v>
      </c>
    </row>
    <row r="491" spans="1:14" x14ac:dyDescent="0.25">
      <c r="A491">
        <v>490</v>
      </c>
      <c r="B491" t="s">
        <v>1871</v>
      </c>
      <c r="C491" t="s">
        <v>944</v>
      </c>
      <c r="D491" t="s">
        <v>1814</v>
      </c>
      <c r="E491">
        <v>3</v>
      </c>
      <c r="F491">
        <v>50</v>
      </c>
      <c r="G491">
        <v>150</v>
      </c>
      <c r="H491" s="9">
        <v>0.05</v>
      </c>
      <c r="I491">
        <v>26.41</v>
      </c>
      <c r="J491" s="10">
        <f t="shared" si="14"/>
        <v>2</v>
      </c>
      <c r="K491" s="11">
        <f t="shared" si="15"/>
        <v>0.17606666666666668</v>
      </c>
      <c r="L491" t="str">
        <f>VLOOKUP(C491,Customers!$A$2:$F$1001,2,FALSE())</f>
        <v>Sarah Thompson</v>
      </c>
      <c r="M491" t="str">
        <f>VLOOKUP(C491,Customers!$A$2:$F$1001,3,FALSE())</f>
        <v>South</v>
      </c>
      <c r="N491" t="str">
        <f>VLOOKUP(C491,Customers!$A$2:$F$1001,4,FALSE())</f>
        <v>Corporate</v>
      </c>
    </row>
    <row r="492" spans="1:14" x14ac:dyDescent="0.25">
      <c r="A492">
        <v>491</v>
      </c>
      <c r="B492" t="s">
        <v>1843</v>
      </c>
      <c r="C492" t="s">
        <v>946</v>
      </c>
      <c r="D492" t="s">
        <v>1816</v>
      </c>
      <c r="E492">
        <v>3</v>
      </c>
      <c r="F492">
        <v>300</v>
      </c>
      <c r="G492">
        <v>900</v>
      </c>
      <c r="H492" s="9">
        <v>0.1</v>
      </c>
      <c r="I492">
        <v>-0.38</v>
      </c>
      <c r="J492" s="10">
        <f t="shared" si="14"/>
        <v>5</v>
      </c>
      <c r="K492" s="11">
        <f t="shared" si="15"/>
        <v>-4.2222222222222222E-4</v>
      </c>
      <c r="L492" t="str">
        <f>VLOOKUP(C492,Customers!$A$2:$F$1001,2,FALSE())</f>
        <v>Sandra Lewis</v>
      </c>
      <c r="M492" t="str">
        <f>VLOOKUP(C492,Customers!$A$2:$F$1001,3,FALSE())</f>
        <v>North</v>
      </c>
      <c r="N492" t="str">
        <f>VLOOKUP(C492,Customers!$A$2:$F$1001,4,FALSE())</f>
        <v>Home Office</v>
      </c>
    </row>
    <row r="493" spans="1:14" x14ac:dyDescent="0.25">
      <c r="A493">
        <v>492</v>
      </c>
      <c r="B493" t="s">
        <v>2077</v>
      </c>
      <c r="C493" t="s">
        <v>948</v>
      </c>
      <c r="D493" t="s">
        <v>1812</v>
      </c>
      <c r="E493">
        <v>4</v>
      </c>
      <c r="F493">
        <v>25</v>
      </c>
      <c r="G493">
        <v>100</v>
      </c>
      <c r="H493" s="9">
        <v>0</v>
      </c>
      <c r="I493">
        <v>31.2</v>
      </c>
      <c r="J493" s="10">
        <f t="shared" si="14"/>
        <v>6</v>
      </c>
      <c r="K493" s="11">
        <f t="shared" si="15"/>
        <v>0.312</v>
      </c>
      <c r="L493" t="str">
        <f>VLOOKUP(C493,Customers!$A$2:$F$1001,2,FALSE())</f>
        <v>Betty Sanchez</v>
      </c>
      <c r="M493" t="str">
        <f>VLOOKUP(C493,Customers!$A$2:$F$1001,3,FALSE())</f>
        <v>West</v>
      </c>
      <c r="N493" t="str">
        <f>VLOOKUP(C493,Customers!$A$2:$F$1001,4,FALSE())</f>
        <v>Consumer</v>
      </c>
    </row>
    <row r="494" spans="1:14" x14ac:dyDescent="0.25">
      <c r="A494">
        <v>493</v>
      </c>
      <c r="B494" t="s">
        <v>1937</v>
      </c>
      <c r="C494" t="s">
        <v>949</v>
      </c>
      <c r="D494" t="s">
        <v>1812</v>
      </c>
      <c r="E494">
        <v>2</v>
      </c>
      <c r="F494">
        <v>25</v>
      </c>
      <c r="G494">
        <v>50</v>
      </c>
      <c r="H494" s="9">
        <v>0.15</v>
      </c>
      <c r="I494">
        <v>8.43</v>
      </c>
      <c r="J494" s="10">
        <f t="shared" si="14"/>
        <v>11</v>
      </c>
      <c r="K494" s="11">
        <f t="shared" si="15"/>
        <v>0.1686</v>
      </c>
      <c r="L494" t="str">
        <f>VLOOKUP(C494,Customers!$A$2:$F$1001,2,FALSE())</f>
        <v>Sandra Clark</v>
      </c>
      <c r="M494" t="str">
        <f>VLOOKUP(C494,Customers!$A$2:$F$1001,3,FALSE())</f>
        <v>East</v>
      </c>
      <c r="N494" t="str">
        <f>VLOOKUP(C494,Customers!$A$2:$F$1001,4,FALSE())</f>
        <v>Consumer</v>
      </c>
    </row>
    <row r="495" spans="1:14" x14ac:dyDescent="0.25">
      <c r="A495">
        <v>494</v>
      </c>
      <c r="B495" t="s">
        <v>1920</v>
      </c>
      <c r="C495" t="s">
        <v>951</v>
      </c>
      <c r="D495" t="s">
        <v>1812</v>
      </c>
      <c r="E495">
        <v>4</v>
      </c>
      <c r="F495">
        <v>50</v>
      </c>
      <c r="G495">
        <v>200</v>
      </c>
      <c r="H495" s="9">
        <v>0.1</v>
      </c>
      <c r="I495">
        <v>43.21</v>
      </c>
      <c r="J495" s="10">
        <f t="shared" si="14"/>
        <v>9</v>
      </c>
      <c r="K495" s="11">
        <f t="shared" si="15"/>
        <v>0.21604999999999999</v>
      </c>
      <c r="L495" t="str">
        <f>VLOOKUP(C495,Customers!$A$2:$F$1001,2,FALSE())</f>
        <v>Donald Gonzalez</v>
      </c>
      <c r="M495" t="str">
        <f>VLOOKUP(C495,Customers!$A$2:$F$1001,3,FALSE())</f>
        <v>West</v>
      </c>
      <c r="N495" t="str">
        <f>VLOOKUP(C495,Customers!$A$2:$F$1001,4,FALSE())</f>
        <v>Home Office</v>
      </c>
    </row>
    <row r="496" spans="1:14" x14ac:dyDescent="0.25">
      <c r="A496">
        <v>495</v>
      </c>
      <c r="B496" t="s">
        <v>1918</v>
      </c>
      <c r="C496" t="s">
        <v>952</v>
      </c>
      <c r="D496" t="s">
        <v>1812</v>
      </c>
      <c r="E496">
        <v>2</v>
      </c>
      <c r="F496">
        <v>30</v>
      </c>
      <c r="G496">
        <v>60</v>
      </c>
      <c r="H496" s="9">
        <v>0</v>
      </c>
      <c r="I496">
        <v>19.77</v>
      </c>
      <c r="J496" s="10">
        <f t="shared" si="14"/>
        <v>7</v>
      </c>
      <c r="K496" s="11">
        <f t="shared" si="15"/>
        <v>0.32950000000000002</v>
      </c>
      <c r="L496" t="str">
        <f>VLOOKUP(C496,Customers!$A$2:$F$1001,2,FALSE())</f>
        <v>Richard Young</v>
      </c>
      <c r="M496" t="str">
        <f>VLOOKUP(C496,Customers!$A$2:$F$1001,3,FALSE())</f>
        <v>South</v>
      </c>
      <c r="N496" t="str">
        <f>VLOOKUP(C496,Customers!$A$2:$F$1001,4,FALSE())</f>
        <v>Home Office</v>
      </c>
    </row>
    <row r="497" spans="1:14" x14ac:dyDescent="0.25">
      <c r="A497">
        <v>496</v>
      </c>
      <c r="B497" t="s">
        <v>2080</v>
      </c>
      <c r="C497" t="s">
        <v>953</v>
      </c>
      <c r="D497" t="s">
        <v>1814</v>
      </c>
      <c r="E497">
        <v>2</v>
      </c>
      <c r="F497">
        <v>300</v>
      </c>
      <c r="G497">
        <v>600</v>
      </c>
      <c r="H497" s="9">
        <v>0.15</v>
      </c>
      <c r="I497">
        <v>69.849999999999994</v>
      </c>
      <c r="J497" s="10">
        <f t="shared" si="14"/>
        <v>12</v>
      </c>
      <c r="K497" s="11">
        <f t="shared" si="15"/>
        <v>0.11641666666666665</v>
      </c>
      <c r="L497" t="str">
        <f>VLOOKUP(C497,Customers!$A$2:$F$1001,2,FALSE())</f>
        <v>Sarah Perez</v>
      </c>
      <c r="M497" t="str">
        <f>VLOOKUP(C497,Customers!$A$2:$F$1001,3,FALSE())</f>
        <v>East</v>
      </c>
      <c r="N497" t="str">
        <f>VLOOKUP(C497,Customers!$A$2:$F$1001,4,FALSE())</f>
        <v>Corporate</v>
      </c>
    </row>
    <row r="498" spans="1:14" x14ac:dyDescent="0.25">
      <c r="A498">
        <v>497</v>
      </c>
      <c r="B498" t="s">
        <v>1859</v>
      </c>
      <c r="C498" t="s">
        <v>955</v>
      </c>
      <c r="D498" t="s">
        <v>1814</v>
      </c>
      <c r="E498">
        <v>4</v>
      </c>
      <c r="F498">
        <v>30</v>
      </c>
      <c r="G498">
        <v>120</v>
      </c>
      <c r="H498" s="9">
        <v>0.1</v>
      </c>
      <c r="I498">
        <v>15.3</v>
      </c>
      <c r="J498" s="10">
        <f t="shared" si="14"/>
        <v>10</v>
      </c>
      <c r="K498" s="11">
        <f t="shared" si="15"/>
        <v>0.1275</v>
      </c>
      <c r="L498" t="str">
        <f>VLOOKUP(C498,Customers!$A$2:$F$1001,2,FALSE())</f>
        <v>Elizabeth Moore</v>
      </c>
      <c r="M498" t="str">
        <f>VLOOKUP(C498,Customers!$A$2:$F$1001,3,FALSE())</f>
        <v>West</v>
      </c>
      <c r="N498" t="str">
        <f>VLOOKUP(C498,Customers!$A$2:$F$1001,4,FALSE())</f>
        <v>Corporate</v>
      </c>
    </row>
    <row r="499" spans="1:14" x14ac:dyDescent="0.25">
      <c r="A499">
        <v>498</v>
      </c>
      <c r="B499" t="s">
        <v>1985</v>
      </c>
      <c r="C499" t="s">
        <v>957</v>
      </c>
      <c r="D499" t="s">
        <v>1814</v>
      </c>
      <c r="E499">
        <v>4</v>
      </c>
      <c r="F499">
        <v>25</v>
      </c>
      <c r="G499">
        <v>100</v>
      </c>
      <c r="H499" s="9">
        <v>0.15</v>
      </c>
      <c r="I499">
        <v>10.81</v>
      </c>
      <c r="J499" s="10">
        <f t="shared" si="14"/>
        <v>6</v>
      </c>
      <c r="K499" s="11">
        <f t="shared" si="15"/>
        <v>0.1081</v>
      </c>
      <c r="L499" t="str">
        <f>VLOOKUP(C499,Customers!$A$2:$F$1001,2,FALSE())</f>
        <v>Anthony Sanchez</v>
      </c>
      <c r="M499" t="str">
        <f>VLOOKUP(C499,Customers!$A$2:$F$1001,3,FALSE())</f>
        <v>East</v>
      </c>
      <c r="N499" t="str">
        <f>VLOOKUP(C499,Customers!$A$2:$F$1001,4,FALSE())</f>
        <v>Consumer</v>
      </c>
    </row>
    <row r="500" spans="1:14" x14ac:dyDescent="0.25">
      <c r="A500">
        <v>499</v>
      </c>
      <c r="B500" t="s">
        <v>2081</v>
      </c>
      <c r="C500" t="s">
        <v>959</v>
      </c>
      <c r="D500" t="s">
        <v>1812</v>
      </c>
      <c r="E500">
        <v>2</v>
      </c>
      <c r="F500">
        <v>30</v>
      </c>
      <c r="G500">
        <v>60</v>
      </c>
      <c r="H500" s="9">
        <v>0.05</v>
      </c>
      <c r="I500">
        <v>16.440000000000001</v>
      </c>
      <c r="J500" s="10">
        <f t="shared" si="14"/>
        <v>1</v>
      </c>
      <c r="K500" s="11">
        <f t="shared" si="15"/>
        <v>0.27400000000000002</v>
      </c>
      <c r="L500" t="str">
        <f>VLOOKUP(C500,Customers!$A$2:$F$1001,2,FALSE())</f>
        <v>Anthony Anderson</v>
      </c>
      <c r="M500" t="str">
        <f>VLOOKUP(C500,Customers!$A$2:$F$1001,3,FALSE())</f>
        <v>South</v>
      </c>
      <c r="N500" t="str">
        <f>VLOOKUP(C500,Customers!$A$2:$F$1001,4,FALSE())</f>
        <v>Home Office</v>
      </c>
    </row>
    <row r="501" spans="1:14" x14ac:dyDescent="0.25">
      <c r="A501">
        <v>500</v>
      </c>
      <c r="B501" t="s">
        <v>2054</v>
      </c>
      <c r="C501" t="s">
        <v>961</v>
      </c>
      <c r="D501" t="s">
        <v>1812</v>
      </c>
      <c r="E501">
        <v>4</v>
      </c>
      <c r="F501">
        <v>25</v>
      </c>
      <c r="G501">
        <v>100</v>
      </c>
      <c r="H501" s="9">
        <v>0.15</v>
      </c>
      <c r="I501">
        <v>17.73</v>
      </c>
      <c r="J501" s="10">
        <f t="shared" si="14"/>
        <v>3</v>
      </c>
      <c r="K501" s="11">
        <f t="shared" si="15"/>
        <v>0.17730000000000001</v>
      </c>
      <c r="L501" t="str">
        <f>VLOOKUP(C501,Customers!$A$2:$F$1001,2,FALSE())</f>
        <v>Edward Lee</v>
      </c>
      <c r="M501" t="str">
        <f>VLOOKUP(C501,Customers!$A$2:$F$1001,3,FALSE())</f>
        <v>East</v>
      </c>
      <c r="N501" t="str">
        <f>VLOOKUP(C501,Customers!$A$2:$F$1001,4,FALSE())</f>
        <v>Consumer</v>
      </c>
    </row>
    <row r="502" spans="1:14" x14ac:dyDescent="0.25">
      <c r="A502">
        <v>501</v>
      </c>
      <c r="B502" t="s">
        <v>2038</v>
      </c>
      <c r="C502" t="s">
        <v>963</v>
      </c>
      <c r="D502" t="s">
        <v>1816</v>
      </c>
      <c r="E502">
        <v>2</v>
      </c>
      <c r="F502">
        <v>30</v>
      </c>
      <c r="G502">
        <v>60</v>
      </c>
      <c r="H502" s="9">
        <v>0.05</v>
      </c>
      <c r="I502">
        <v>5.3</v>
      </c>
      <c r="J502" s="10">
        <f t="shared" si="14"/>
        <v>5</v>
      </c>
      <c r="K502" s="11">
        <f t="shared" si="15"/>
        <v>8.8333333333333333E-2</v>
      </c>
      <c r="L502" t="str">
        <f>VLOOKUP(C502,Customers!$A$2:$F$1001,2,FALSE())</f>
        <v>Kenneth Robinson</v>
      </c>
      <c r="M502" t="str">
        <f>VLOOKUP(C502,Customers!$A$2:$F$1001,3,FALSE())</f>
        <v>East</v>
      </c>
      <c r="N502" t="str">
        <f>VLOOKUP(C502,Customers!$A$2:$F$1001,4,FALSE())</f>
        <v>Consumer</v>
      </c>
    </row>
    <row r="503" spans="1:14" x14ac:dyDescent="0.25">
      <c r="A503">
        <v>502</v>
      </c>
      <c r="B503" t="s">
        <v>1942</v>
      </c>
      <c r="C503" t="s">
        <v>964</v>
      </c>
      <c r="D503" t="s">
        <v>1816</v>
      </c>
      <c r="E503">
        <v>3</v>
      </c>
      <c r="F503">
        <v>50</v>
      </c>
      <c r="G503">
        <v>150</v>
      </c>
      <c r="H503" s="9">
        <v>0.1</v>
      </c>
      <c r="I503">
        <v>-3.14</v>
      </c>
      <c r="J503" s="10">
        <f t="shared" si="14"/>
        <v>4</v>
      </c>
      <c r="K503" s="11">
        <f t="shared" si="15"/>
        <v>-2.0933333333333335E-2</v>
      </c>
      <c r="L503" t="str">
        <f>VLOOKUP(C503,Customers!$A$2:$F$1001,2,FALSE())</f>
        <v>Betty Scott</v>
      </c>
      <c r="M503" t="str">
        <f>VLOOKUP(C503,Customers!$A$2:$F$1001,3,FALSE())</f>
        <v>West</v>
      </c>
      <c r="N503" t="str">
        <f>VLOOKUP(C503,Customers!$A$2:$F$1001,4,FALSE())</f>
        <v>Corporate</v>
      </c>
    </row>
    <row r="504" spans="1:14" x14ac:dyDescent="0.25">
      <c r="A504">
        <v>503</v>
      </c>
      <c r="B504" t="s">
        <v>2082</v>
      </c>
      <c r="C504" t="s">
        <v>966</v>
      </c>
      <c r="D504" t="s">
        <v>1812</v>
      </c>
      <c r="E504">
        <v>4</v>
      </c>
      <c r="F504">
        <v>500</v>
      </c>
      <c r="G504">
        <v>2000</v>
      </c>
      <c r="H504" s="9">
        <v>0</v>
      </c>
      <c r="I504">
        <v>785.7</v>
      </c>
      <c r="J504" s="10">
        <f t="shared" si="14"/>
        <v>10</v>
      </c>
      <c r="K504" s="11">
        <f t="shared" si="15"/>
        <v>0.39285000000000003</v>
      </c>
      <c r="L504" t="str">
        <f>VLOOKUP(C504,Customers!$A$2:$F$1001,2,FALSE())</f>
        <v>Michael Torres</v>
      </c>
      <c r="M504" t="str">
        <f>VLOOKUP(C504,Customers!$A$2:$F$1001,3,FALSE())</f>
        <v>South</v>
      </c>
      <c r="N504" t="str">
        <f>VLOOKUP(C504,Customers!$A$2:$F$1001,4,FALSE())</f>
        <v>Home Office</v>
      </c>
    </row>
    <row r="505" spans="1:14" x14ac:dyDescent="0.25">
      <c r="A505">
        <v>504</v>
      </c>
      <c r="B505" t="s">
        <v>1856</v>
      </c>
      <c r="C505" t="s">
        <v>968</v>
      </c>
      <c r="D505" t="s">
        <v>1812</v>
      </c>
      <c r="E505">
        <v>3</v>
      </c>
      <c r="F505">
        <v>50</v>
      </c>
      <c r="G505">
        <v>150</v>
      </c>
      <c r="H505" s="9">
        <v>0.1</v>
      </c>
      <c r="I505">
        <v>33.89</v>
      </c>
      <c r="J505" s="10">
        <f t="shared" si="14"/>
        <v>5</v>
      </c>
      <c r="K505" s="11">
        <f t="shared" si="15"/>
        <v>0.22593333333333335</v>
      </c>
      <c r="L505" t="str">
        <f>VLOOKUP(C505,Customers!$A$2:$F$1001,2,FALSE())</f>
        <v>Kevin Lee</v>
      </c>
      <c r="M505" t="str">
        <f>VLOOKUP(C505,Customers!$A$2:$F$1001,3,FALSE())</f>
        <v>South</v>
      </c>
      <c r="N505" t="str">
        <f>VLOOKUP(C505,Customers!$A$2:$F$1001,4,FALSE())</f>
        <v>Home Office</v>
      </c>
    </row>
    <row r="506" spans="1:14" x14ac:dyDescent="0.25">
      <c r="A506">
        <v>505</v>
      </c>
      <c r="B506" t="s">
        <v>2074</v>
      </c>
      <c r="C506" t="s">
        <v>970</v>
      </c>
      <c r="D506" t="s">
        <v>1812</v>
      </c>
      <c r="E506">
        <v>1</v>
      </c>
      <c r="F506">
        <v>50</v>
      </c>
      <c r="G506">
        <v>50</v>
      </c>
      <c r="H506" s="9">
        <v>0.1</v>
      </c>
      <c r="I506">
        <v>12.62</v>
      </c>
      <c r="J506" s="10">
        <f t="shared" si="14"/>
        <v>1</v>
      </c>
      <c r="K506" s="11">
        <f t="shared" si="15"/>
        <v>0.25239999999999996</v>
      </c>
      <c r="L506" t="str">
        <f>VLOOKUP(C506,Customers!$A$2:$F$1001,2,FALSE())</f>
        <v>Andrew Lee</v>
      </c>
      <c r="M506" t="str">
        <f>VLOOKUP(C506,Customers!$A$2:$F$1001,3,FALSE())</f>
        <v>West</v>
      </c>
      <c r="N506" t="str">
        <f>VLOOKUP(C506,Customers!$A$2:$F$1001,4,FALSE())</f>
        <v>Consumer</v>
      </c>
    </row>
    <row r="507" spans="1:14" x14ac:dyDescent="0.25">
      <c r="A507">
        <v>506</v>
      </c>
      <c r="B507" t="s">
        <v>2006</v>
      </c>
      <c r="C507" t="s">
        <v>972</v>
      </c>
      <c r="D507" t="s">
        <v>1812</v>
      </c>
      <c r="E507">
        <v>3</v>
      </c>
      <c r="F507">
        <v>500</v>
      </c>
      <c r="G507">
        <v>1500</v>
      </c>
      <c r="H507" s="9">
        <v>0.1</v>
      </c>
      <c r="I507">
        <v>311.16000000000003</v>
      </c>
      <c r="J507" s="10">
        <f t="shared" si="14"/>
        <v>2</v>
      </c>
      <c r="K507" s="11">
        <f t="shared" si="15"/>
        <v>0.20744000000000001</v>
      </c>
      <c r="L507" t="str">
        <f>VLOOKUP(C507,Customers!$A$2:$F$1001,2,FALSE())</f>
        <v>Susan Young</v>
      </c>
      <c r="M507" t="str">
        <f>VLOOKUP(C507,Customers!$A$2:$F$1001,3,FALSE())</f>
        <v>South</v>
      </c>
      <c r="N507" t="str">
        <f>VLOOKUP(C507,Customers!$A$2:$F$1001,4,FALSE())</f>
        <v>Consumer</v>
      </c>
    </row>
    <row r="508" spans="1:14" x14ac:dyDescent="0.25">
      <c r="A508">
        <v>507</v>
      </c>
      <c r="B508" t="s">
        <v>1927</v>
      </c>
      <c r="C508" t="s">
        <v>973</v>
      </c>
      <c r="D508" t="s">
        <v>1816</v>
      </c>
      <c r="E508">
        <v>3</v>
      </c>
      <c r="F508">
        <v>500</v>
      </c>
      <c r="G508">
        <v>1500</v>
      </c>
      <c r="H508" s="9">
        <v>0.05</v>
      </c>
      <c r="I508">
        <v>127.58</v>
      </c>
      <c r="J508" s="10">
        <f t="shared" si="14"/>
        <v>11</v>
      </c>
      <c r="K508" s="11">
        <f t="shared" si="15"/>
        <v>8.5053333333333328E-2</v>
      </c>
      <c r="L508" t="str">
        <f>VLOOKUP(C508,Customers!$A$2:$F$1001,2,FALSE())</f>
        <v>Richard Gonzalez</v>
      </c>
      <c r="M508" t="str">
        <f>VLOOKUP(C508,Customers!$A$2:$F$1001,3,FALSE())</f>
        <v>East</v>
      </c>
      <c r="N508" t="str">
        <f>VLOOKUP(C508,Customers!$A$2:$F$1001,4,FALSE())</f>
        <v>Home Office</v>
      </c>
    </row>
    <row r="509" spans="1:14" x14ac:dyDescent="0.25">
      <c r="A509">
        <v>508</v>
      </c>
      <c r="B509" t="s">
        <v>1938</v>
      </c>
      <c r="C509" t="s">
        <v>975</v>
      </c>
      <c r="D509" t="s">
        <v>1812</v>
      </c>
      <c r="E509">
        <v>2</v>
      </c>
      <c r="F509">
        <v>300</v>
      </c>
      <c r="G509">
        <v>600</v>
      </c>
      <c r="H509" s="9">
        <v>0.15</v>
      </c>
      <c r="I509">
        <v>86.4</v>
      </c>
      <c r="J509" s="10">
        <f t="shared" si="14"/>
        <v>8</v>
      </c>
      <c r="K509" s="11">
        <f t="shared" si="15"/>
        <v>0.14400000000000002</v>
      </c>
      <c r="L509" t="str">
        <f>VLOOKUP(C509,Customers!$A$2:$F$1001,2,FALSE())</f>
        <v>Margaret King</v>
      </c>
      <c r="M509" t="str">
        <f>VLOOKUP(C509,Customers!$A$2:$F$1001,3,FALSE())</f>
        <v>South</v>
      </c>
      <c r="N509" t="str">
        <f>VLOOKUP(C509,Customers!$A$2:$F$1001,4,FALSE())</f>
        <v>Home Office</v>
      </c>
    </row>
    <row r="510" spans="1:14" x14ac:dyDescent="0.25">
      <c r="A510">
        <v>509</v>
      </c>
      <c r="B510" t="s">
        <v>1854</v>
      </c>
      <c r="C510" t="s">
        <v>977</v>
      </c>
      <c r="D510" t="s">
        <v>1816</v>
      </c>
      <c r="E510">
        <v>3</v>
      </c>
      <c r="F510">
        <v>300</v>
      </c>
      <c r="G510">
        <v>900</v>
      </c>
      <c r="H510" s="9">
        <v>0.1</v>
      </c>
      <c r="I510">
        <v>60.37</v>
      </c>
      <c r="J510" s="10">
        <f t="shared" si="14"/>
        <v>6</v>
      </c>
      <c r="K510" s="11">
        <f t="shared" si="15"/>
        <v>6.7077777777777778E-2</v>
      </c>
      <c r="L510" t="str">
        <f>VLOOKUP(C510,Customers!$A$2:$F$1001,2,FALSE())</f>
        <v>Karen Martin</v>
      </c>
      <c r="M510" t="str">
        <f>VLOOKUP(C510,Customers!$A$2:$F$1001,3,FALSE())</f>
        <v>North</v>
      </c>
      <c r="N510" t="str">
        <f>VLOOKUP(C510,Customers!$A$2:$F$1001,4,FALSE())</f>
        <v>Corporate</v>
      </c>
    </row>
    <row r="511" spans="1:14" x14ac:dyDescent="0.25">
      <c r="A511">
        <v>510</v>
      </c>
      <c r="B511" t="s">
        <v>2024</v>
      </c>
      <c r="C511" t="s">
        <v>979</v>
      </c>
      <c r="D511" t="s">
        <v>1812</v>
      </c>
      <c r="E511">
        <v>4</v>
      </c>
      <c r="F511">
        <v>50</v>
      </c>
      <c r="G511">
        <v>200</v>
      </c>
      <c r="H511" s="9">
        <v>0</v>
      </c>
      <c r="I511">
        <v>71.87</v>
      </c>
      <c r="J511" s="10">
        <f t="shared" si="14"/>
        <v>6</v>
      </c>
      <c r="K511" s="11">
        <f t="shared" si="15"/>
        <v>0.35935</v>
      </c>
      <c r="L511" t="str">
        <f>VLOOKUP(C511,Customers!$A$2:$F$1001,2,FALSE())</f>
        <v>Robert Jones</v>
      </c>
      <c r="M511" t="str">
        <f>VLOOKUP(C511,Customers!$A$2:$F$1001,3,FALSE())</f>
        <v>East</v>
      </c>
      <c r="N511" t="str">
        <f>VLOOKUP(C511,Customers!$A$2:$F$1001,4,FALSE())</f>
        <v>Corporate</v>
      </c>
    </row>
    <row r="512" spans="1:14" x14ac:dyDescent="0.25">
      <c r="A512">
        <v>511</v>
      </c>
      <c r="B512" t="s">
        <v>2083</v>
      </c>
      <c r="C512" t="s">
        <v>980</v>
      </c>
      <c r="D512" t="s">
        <v>1812</v>
      </c>
      <c r="E512">
        <v>2</v>
      </c>
      <c r="F512">
        <v>50</v>
      </c>
      <c r="G512">
        <v>100</v>
      </c>
      <c r="H512" s="9">
        <v>0.2</v>
      </c>
      <c r="I512">
        <v>12.1</v>
      </c>
      <c r="J512" s="10">
        <f t="shared" si="14"/>
        <v>8</v>
      </c>
      <c r="K512" s="11">
        <f t="shared" si="15"/>
        <v>0.121</v>
      </c>
      <c r="L512" t="str">
        <f>VLOOKUP(C512,Customers!$A$2:$F$1001,2,FALSE())</f>
        <v>Robert Williams</v>
      </c>
      <c r="M512" t="str">
        <f>VLOOKUP(C512,Customers!$A$2:$F$1001,3,FALSE())</f>
        <v>North</v>
      </c>
      <c r="N512" t="str">
        <f>VLOOKUP(C512,Customers!$A$2:$F$1001,4,FALSE())</f>
        <v>Consumer</v>
      </c>
    </row>
    <row r="513" spans="1:14" x14ac:dyDescent="0.25">
      <c r="A513">
        <v>512</v>
      </c>
      <c r="B513" t="s">
        <v>1969</v>
      </c>
      <c r="C513" t="s">
        <v>982</v>
      </c>
      <c r="D513" t="s">
        <v>1812</v>
      </c>
      <c r="E513">
        <v>1</v>
      </c>
      <c r="F513">
        <v>25</v>
      </c>
      <c r="G513">
        <v>25</v>
      </c>
      <c r="H513" s="9">
        <v>0.1</v>
      </c>
      <c r="I513">
        <v>6.77</v>
      </c>
      <c r="J513" s="10">
        <f t="shared" si="14"/>
        <v>11</v>
      </c>
      <c r="K513" s="11">
        <f t="shared" si="15"/>
        <v>0.27079999999999999</v>
      </c>
      <c r="L513" t="str">
        <f>VLOOKUP(C513,Customers!$A$2:$F$1001,2,FALSE())</f>
        <v>Carol King</v>
      </c>
      <c r="M513" t="str">
        <f>VLOOKUP(C513,Customers!$A$2:$F$1001,3,FALSE())</f>
        <v>North</v>
      </c>
      <c r="N513" t="str">
        <f>VLOOKUP(C513,Customers!$A$2:$F$1001,4,FALSE())</f>
        <v>Consumer</v>
      </c>
    </row>
    <row r="514" spans="1:14" x14ac:dyDescent="0.25">
      <c r="A514">
        <v>513</v>
      </c>
      <c r="B514" t="s">
        <v>2084</v>
      </c>
      <c r="C514" t="s">
        <v>984</v>
      </c>
      <c r="D514" t="s">
        <v>1816</v>
      </c>
      <c r="E514">
        <v>4</v>
      </c>
      <c r="F514">
        <v>25</v>
      </c>
      <c r="G514">
        <v>100</v>
      </c>
      <c r="H514" s="9">
        <v>0.25</v>
      </c>
      <c r="I514">
        <v>-5</v>
      </c>
      <c r="J514" s="10">
        <f t="shared" ref="J514:J577" si="16">MONTH(B514)</f>
        <v>9</v>
      </c>
      <c r="K514" s="11">
        <f t="shared" ref="K514:K577" si="17">IF(G514=0,0,I514/G514)</f>
        <v>-0.05</v>
      </c>
      <c r="L514" t="str">
        <f>VLOOKUP(C514,Customers!$A$2:$F$1001,2,FALSE())</f>
        <v>Dorothy Williams</v>
      </c>
      <c r="M514" t="str">
        <f>VLOOKUP(C514,Customers!$A$2:$F$1001,3,FALSE())</f>
        <v>East</v>
      </c>
      <c r="N514" t="str">
        <f>VLOOKUP(C514,Customers!$A$2:$F$1001,4,FALSE())</f>
        <v>Consumer</v>
      </c>
    </row>
    <row r="515" spans="1:14" x14ac:dyDescent="0.25">
      <c r="A515">
        <v>514</v>
      </c>
      <c r="B515" t="s">
        <v>2054</v>
      </c>
      <c r="C515" t="s">
        <v>985</v>
      </c>
      <c r="D515" t="s">
        <v>1816</v>
      </c>
      <c r="E515">
        <v>1</v>
      </c>
      <c r="F515">
        <v>300</v>
      </c>
      <c r="G515">
        <v>300</v>
      </c>
      <c r="H515" s="9">
        <v>0.25</v>
      </c>
      <c r="I515">
        <v>-15</v>
      </c>
      <c r="J515" s="10">
        <f t="shared" si="16"/>
        <v>3</v>
      </c>
      <c r="K515" s="11">
        <f t="shared" si="17"/>
        <v>-0.05</v>
      </c>
      <c r="L515" t="str">
        <f>VLOOKUP(C515,Customers!$A$2:$F$1001,2,FALSE())</f>
        <v>Patricia Lopez</v>
      </c>
      <c r="M515" t="str">
        <f>VLOOKUP(C515,Customers!$A$2:$F$1001,3,FALSE())</f>
        <v>East</v>
      </c>
      <c r="N515" t="str">
        <f>VLOOKUP(C515,Customers!$A$2:$F$1001,4,FALSE())</f>
        <v>Consumer</v>
      </c>
    </row>
    <row r="516" spans="1:14" x14ac:dyDescent="0.25">
      <c r="A516">
        <v>515</v>
      </c>
      <c r="B516" t="s">
        <v>1929</v>
      </c>
      <c r="C516" t="s">
        <v>986</v>
      </c>
      <c r="D516" t="s">
        <v>1814</v>
      </c>
      <c r="E516">
        <v>3</v>
      </c>
      <c r="F516">
        <v>300</v>
      </c>
      <c r="G516">
        <v>900</v>
      </c>
      <c r="H516" s="9">
        <v>0.2</v>
      </c>
      <c r="I516">
        <v>-29.39</v>
      </c>
      <c r="J516" s="10">
        <f t="shared" si="16"/>
        <v>7</v>
      </c>
      <c r="K516" s="11">
        <f t="shared" si="17"/>
        <v>-3.2655555555555556E-2</v>
      </c>
      <c r="L516" t="str">
        <f>VLOOKUP(C516,Customers!$A$2:$F$1001,2,FALSE())</f>
        <v>Mark Wilson</v>
      </c>
      <c r="M516" t="str">
        <f>VLOOKUP(C516,Customers!$A$2:$F$1001,3,FALSE())</f>
        <v>West</v>
      </c>
      <c r="N516" t="str">
        <f>VLOOKUP(C516,Customers!$A$2:$F$1001,4,FALSE())</f>
        <v>Consumer</v>
      </c>
    </row>
    <row r="517" spans="1:14" x14ac:dyDescent="0.25">
      <c r="A517">
        <v>516</v>
      </c>
      <c r="B517" t="s">
        <v>1868</v>
      </c>
      <c r="C517" t="s">
        <v>988</v>
      </c>
      <c r="D517" t="s">
        <v>1812</v>
      </c>
      <c r="E517">
        <v>4</v>
      </c>
      <c r="F517">
        <v>25</v>
      </c>
      <c r="G517">
        <v>100</v>
      </c>
      <c r="H517" s="9">
        <v>0.15</v>
      </c>
      <c r="I517">
        <v>14.91</v>
      </c>
      <c r="J517" s="10">
        <f t="shared" si="16"/>
        <v>10</v>
      </c>
      <c r="K517" s="11">
        <f t="shared" si="17"/>
        <v>0.14910000000000001</v>
      </c>
      <c r="L517" t="str">
        <f>VLOOKUP(C517,Customers!$A$2:$F$1001,2,FALSE())</f>
        <v>Matthew Miller</v>
      </c>
      <c r="M517" t="str">
        <f>VLOOKUP(C517,Customers!$A$2:$F$1001,3,FALSE())</f>
        <v>North</v>
      </c>
      <c r="N517" t="str">
        <f>VLOOKUP(C517,Customers!$A$2:$F$1001,4,FALSE())</f>
        <v>Home Office</v>
      </c>
    </row>
    <row r="518" spans="1:14" x14ac:dyDescent="0.25">
      <c r="A518">
        <v>517</v>
      </c>
      <c r="B518" t="s">
        <v>1995</v>
      </c>
      <c r="C518" t="s">
        <v>990</v>
      </c>
      <c r="D518" t="s">
        <v>1814</v>
      </c>
      <c r="E518">
        <v>4</v>
      </c>
      <c r="F518">
        <v>25</v>
      </c>
      <c r="G518">
        <v>100</v>
      </c>
      <c r="H518" s="9">
        <v>0.1</v>
      </c>
      <c r="I518">
        <v>9.99</v>
      </c>
      <c r="J518" s="10">
        <f t="shared" si="16"/>
        <v>4</v>
      </c>
      <c r="K518" s="11">
        <f t="shared" si="17"/>
        <v>9.9900000000000003E-2</v>
      </c>
      <c r="L518" t="str">
        <f>VLOOKUP(C518,Customers!$A$2:$F$1001,2,FALSE())</f>
        <v>Andrew Gonzalez</v>
      </c>
      <c r="M518" t="str">
        <f>VLOOKUP(C518,Customers!$A$2:$F$1001,3,FALSE())</f>
        <v>North</v>
      </c>
      <c r="N518" t="str">
        <f>VLOOKUP(C518,Customers!$A$2:$F$1001,4,FALSE())</f>
        <v>Consumer</v>
      </c>
    </row>
    <row r="519" spans="1:14" x14ac:dyDescent="0.25">
      <c r="A519">
        <v>518</v>
      </c>
      <c r="B519" t="s">
        <v>2085</v>
      </c>
      <c r="C519" t="s">
        <v>991</v>
      </c>
      <c r="D519" t="s">
        <v>1814</v>
      </c>
      <c r="E519">
        <v>1</v>
      </c>
      <c r="F519">
        <v>30</v>
      </c>
      <c r="G519">
        <v>30</v>
      </c>
      <c r="H519" s="9">
        <v>0</v>
      </c>
      <c r="I519">
        <v>8.15</v>
      </c>
      <c r="J519" s="10">
        <f t="shared" si="16"/>
        <v>5</v>
      </c>
      <c r="K519" s="11">
        <f t="shared" si="17"/>
        <v>0.27166666666666667</v>
      </c>
      <c r="L519" t="str">
        <f>VLOOKUP(C519,Customers!$A$2:$F$1001,2,FALSE())</f>
        <v>Patricia Robinson</v>
      </c>
      <c r="M519" t="str">
        <f>VLOOKUP(C519,Customers!$A$2:$F$1001,3,FALSE())</f>
        <v>West</v>
      </c>
      <c r="N519" t="str">
        <f>VLOOKUP(C519,Customers!$A$2:$F$1001,4,FALSE())</f>
        <v>Consumer</v>
      </c>
    </row>
    <row r="520" spans="1:14" x14ac:dyDescent="0.25">
      <c r="A520">
        <v>519</v>
      </c>
      <c r="B520" t="s">
        <v>1857</v>
      </c>
      <c r="C520" t="s">
        <v>993</v>
      </c>
      <c r="D520" t="s">
        <v>1816</v>
      </c>
      <c r="E520">
        <v>4</v>
      </c>
      <c r="F520">
        <v>30</v>
      </c>
      <c r="G520">
        <v>120</v>
      </c>
      <c r="H520" s="9">
        <v>0.05</v>
      </c>
      <c r="I520">
        <v>11.41</v>
      </c>
      <c r="J520" s="10">
        <f t="shared" si="16"/>
        <v>1</v>
      </c>
      <c r="K520" s="11">
        <f t="shared" si="17"/>
        <v>9.5083333333333339E-2</v>
      </c>
      <c r="L520" t="str">
        <f>VLOOKUP(C520,Customers!$A$2:$F$1001,2,FALSE())</f>
        <v>Amanda Smith</v>
      </c>
      <c r="M520" t="str">
        <f>VLOOKUP(C520,Customers!$A$2:$F$1001,3,FALSE())</f>
        <v>North</v>
      </c>
      <c r="N520" t="str">
        <f>VLOOKUP(C520,Customers!$A$2:$F$1001,4,FALSE())</f>
        <v>Corporate</v>
      </c>
    </row>
    <row r="521" spans="1:14" x14ac:dyDescent="0.25">
      <c r="A521">
        <v>520</v>
      </c>
      <c r="B521" t="s">
        <v>1981</v>
      </c>
      <c r="C521" t="s">
        <v>995</v>
      </c>
      <c r="D521" t="s">
        <v>1816</v>
      </c>
      <c r="E521">
        <v>4</v>
      </c>
      <c r="F521">
        <v>25</v>
      </c>
      <c r="G521">
        <v>100</v>
      </c>
      <c r="H521" s="9">
        <v>0.15</v>
      </c>
      <c r="I521">
        <v>-5</v>
      </c>
      <c r="J521" s="10">
        <f t="shared" si="16"/>
        <v>12</v>
      </c>
      <c r="K521" s="11">
        <f t="shared" si="17"/>
        <v>-0.05</v>
      </c>
      <c r="L521" t="str">
        <f>VLOOKUP(C521,Customers!$A$2:$F$1001,2,FALSE())</f>
        <v>Nancy King</v>
      </c>
      <c r="M521" t="str">
        <f>VLOOKUP(C521,Customers!$A$2:$F$1001,3,FALSE())</f>
        <v>North</v>
      </c>
      <c r="N521" t="str">
        <f>VLOOKUP(C521,Customers!$A$2:$F$1001,4,FALSE())</f>
        <v>Consumer</v>
      </c>
    </row>
    <row r="522" spans="1:14" x14ac:dyDescent="0.25">
      <c r="A522">
        <v>521</v>
      </c>
      <c r="B522" t="s">
        <v>2083</v>
      </c>
      <c r="C522" t="s">
        <v>997</v>
      </c>
      <c r="D522" t="s">
        <v>1814</v>
      </c>
      <c r="E522">
        <v>4</v>
      </c>
      <c r="F522">
        <v>30</v>
      </c>
      <c r="G522">
        <v>120</v>
      </c>
      <c r="H522" s="9">
        <v>0.05</v>
      </c>
      <c r="I522">
        <v>22.12</v>
      </c>
      <c r="J522" s="10">
        <f t="shared" si="16"/>
        <v>8</v>
      </c>
      <c r="K522" s="11">
        <f t="shared" si="17"/>
        <v>0.18433333333333335</v>
      </c>
      <c r="L522" t="str">
        <f>VLOOKUP(C522,Customers!$A$2:$F$1001,2,FALSE())</f>
        <v>Emily Wright</v>
      </c>
      <c r="M522" t="str">
        <f>VLOOKUP(C522,Customers!$A$2:$F$1001,3,FALSE())</f>
        <v>South</v>
      </c>
      <c r="N522" t="str">
        <f>VLOOKUP(C522,Customers!$A$2:$F$1001,4,FALSE())</f>
        <v>Consumer</v>
      </c>
    </row>
    <row r="523" spans="1:14" x14ac:dyDescent="0.25">
      <c r="A523">
        <v>522</v>
      </c>
      <c r="B523" t="s">
        <v>1951</v>
      </c>
      <c r="C523" t="s">
        <v>998</v>
      </c>
      <c r="D523" t="s">
        <v>1812</v>
      </c>
      <c r="E523">
        <v>3</v>
      </c>
      <c r="F523">
        <v>500</v>
      </c>
      <c r="G523">
        <v>1500</v>
      </c>
      <c r="H523" s="9">
        <v>0.15</v>
      </c>
      <c r="I523">
        <v>187.76</v>
      </c>
      <c r="J523" s="10">
        <f t="shared" si="16"/>
        <v>1</v>
      </c>
      <c r="K523" s="11">
        <f t="shared" si="17"/>
        <v>0.12517333333333333</v>
      </c>
      <c r="L523" t="str">
        <f>VLOOKUP(C523,Customers!$A$2:$F$1001,2,FALSE())</f>
        <v>Christopher Anderson</v>
      </c>
      <c r="M523" t="str">
        <f>VLOOKUP(C523,Customers!$A$2:$F$1001,3,FALSE())</f>
        <v>East</v>
      </c>
      <c r="N523" t="str">
        <f>VLOOKUP(C523,Customers!$A$2:$F$1001,4,FALSE())</f>
        <v>Corporate</v>
      </c>
    </row>
    <row r="524" spans="1:14" x14ac:dyDescent="0.25">
      <c r="A524">
        <v>523</v>
      </c>
      <c r="B524" t="s">
        <v>2086</v>
      </c>
      <c r="C524" t="s">
        <v>999</v>
      </c>
      <c r="D524" t="s">
        <v>1816</v>
      </c>
      <c r="E524">
        <v>1</v>
      </c>
      <c r="F524">
        <v>300</v>
      </c>
      <c r="G524">
        <v>300</v>
      </c>
      <c r="H524" s="9">
        <v>0</v>
      </c>
      <c r="I524">
        <v>44.52</v>
      </c>
      <c r="J524" s="10">
        <f t="shared" si="16"/>
        <v>9</v>
      </c>
      <c r="K524" s="11">
        <f t="shared" si="17"/>
        <v>0.1484</v>
      </c>
      <c r="L524" t="str">
        <f>VLOOKUP(C524,Customers!$A$2:$F$1001,2,FALSE())</f>
        <v>Emily Miller</v>
      </c>
      <c r="M524" t="str">
        <f>VLOOKUP(C524,Customers!$A$2:$F$1001,3,FALSE())</f>
        <v>West</v>
      </c>
      <c r="N524" t="str">
        <f>VLOOKUP(C524,Customers!$A$2:$F$1001,4,FALSE())</f>
        <v>Consumer</v>
      </c>
    </row>
    <row r="525" spans="1:14" x14ac:dyDescent="0.25">
      <c r="A525">
        <v>524</v>
      </c>
      <c r="B525" t="s">
        <v>1913</v>
      </c>
      <c r="C525" t="s">
        <v>1000</v>
      </c>
      <c r="D525" t="s">
        <v>1812</v>
      </c>
      <c r="E525">
        <v>4</v>
      </c>
      <c r="F525">
        <v>300</v>
      </c>
      <c r="G525">
        <v>1200</v>
      </c>
      <c r="H525" s="9">
        <v>0.05</v>
      </c>
      <c r="I525">
        <v>288.41000000000003</v>
      </c>
      <c r="J525" s="10">
        <f t="shared" si="16"/>
        <v>10</v>
      </c>
      <c r="K525" s="11">
        <f t="shared" si="17"/>
        <v>0.24034166666666668</v>
      </c>
      <c r="L525" t="str">
        <f>VLOOKUP(C525,Customers!$A$2:$F$1001,2,FALSE())</f>
        <v>Barbara Harris</v>
      </c>
      <c r="M525" t="str">
        <f>VLOOKUP(C525,Customers!$A$2:$F$1001,3,FALSE())</f>
        <v>East</v>
      </c>
      <c r="N525" t="str">
        <f>VLOOKUP(C525,Customers!$A$2:$F$1001,4,FALSE())</f>
        <v>Corporate</v>
      </c>
    </row>
    <row r="526" spans="1:14" x14ac:dyDescent="0.25">
      <c r="A526">
        <v>525</v>
      </c>
      <c r="B526" t="s">
        <v>2058</v>
      </c>
      <c r="C526" t="s">
        <v>1002</v>
      </c>
      <c r="D526" t="s">
        <v>1812</v>
      </c>
      <c r="E526">
        <v>2</v>
      </c>
      <c r="F526">
        <v>25</v>
      </c>
      <c r="G526">
        <v>50</v>
      </c>
      <c r="H526" s="9">
        <v>0.05</v>
      </c>
      <c r="I526">
        <v>15.29</v>
      </c>
      <c r="J526" s="10">
        <f t="shared" si="16"/>
        <v>12</v>
      </c>
      <c r="K526" s="11">
        <f t="shared" si="17"/>
        <v>0.30579999999999996</v>
      </c>
      <c r="L526" t="str">
        <f>VLOOKUP(C526,Customers!$A$2:$F$1001,2,FALSE())</f>
        <v>Kimberly Jones</v>
      </c>
      <c r="M526" t="str">
        <f>VLOOKUP(C526,Customers!$A$2:$F$1001,3,FALSE())</f>
        <v>East</v>
      </c>
      <c r="N526" t="str">
        <f>VLOOKUP(C526,Customers!$A$2:$F$1001,4,FALSE())</f>
        <v>Home Office</v>
      </c>
    </row>
    <row r="527" spans="1:14" x14ac:dyDescent="0.25">
      <c r="A527">
        <v>526</v>
      </c>
      <c r="B527" t="s">
        <v>1884</v>
      </c>
      <c r="C527" t="s">
        <v>1003</v>
      </c>
      <c r="D527" t="s">
        <v>1814</v>
      </c>
      <c r="E527">
        <v>2</v>
      </c>
      <c r="F527">
        <v>50</v>
      </c>
      <c r="G527">
        <v>100</v>
      </c>
      <c r="H527" s="9">
        <v>0.05</v>
      </c>
      <c r="I527">
        <v>20.13</v>
      </c>
      <c r="J527" s="10">
        <f t="shared" si="16"/>
        <v>12</v>
      </c>
      <c r="K527" s="11">
        <f t="shared" si="17"/>
        <v>0.20129999999999998</v>
      </c>
      <c r="L527" t="str">
        <f>VLOOKUP(C527,Customers!$A$2:$F$1001,2,FALSE())</f>
        <v>Margaret Anderson</v>
      </c>
      <c r="M527" t="str">
        <f>VLOOKUP(C527,Customers!$A$2:$F$1001,3,FALSE())</f>
        <v>North</v>
      </c>
      <c r="N527" t="str">
        <f>VLOOKUP(C527,Customers!$A$2:$F$1001,4,FALSE())</f>
        <v>Consumer</v>
      </c>
    </row>
    <row r="528" spans="1:14" x14ac:dyDescent="0.25">
      <c r="A528">
        <v>527</v>
      </c>
      <c r="B528" t="s">
        <v>2087</v>
      </c>
      <c r="C528" t="s">
        <v>1004</v>
      </c>
      <c r="D528" t="s">
        <v>1814</v>
      </c>
      <c r="E528">
        <v>2</v>
      </c>
      <c r="F528">
        <v>25</v>
      </c>
      <c r="G528">
        <v>50</v>
      </c>
      <c r="H528" s="9">
        <v>0</v>
      </c>
      <c r="I528">
        <v>15.36</v>
      </c>
      <c r="J528" s="10">
        <f t="shared" si="16"/>
        <v>4</v>
      </c>
      <c r="K528" s="11">
        <f t="shared" si="17"/>
        <v>0.30719999999999997</v>
      </c>
      <c r="L528" t="str">
        <f>VLOOKUP(C528,Customers!$A$2:$F$1001,2,FALSE())</f>
        <v>Margaret Hill</v>
      </c>
      <c r="M528" t="str">
        <f>VLOOKUP(C528,Customers!$A$2:$F$1001,3,FALSE())</f>
        <v>South</v>
      </c>
      <c r="N528" t="str">
        <f>VLOOKUP(C528,Customers!$A$2:$F$1001,4,FALSE())</f>
        <v>Home Office</v>
      </c>
    </row>
    <row r="529" spans="1:14" x14ac:dyDescent="0.25">
      <c r="A529">
        <v>528</v>
      </c>
      <c r="B529" t="s">
        <v>1879</v>
      </c>
      <c r="C529" t="s">
        <v>1006</v>
      </c>
      <c r="D529" t="s">
        <v>1814</v>
      </c>
      <c r="E529">
        <v>2</v>
      </c>
      <c r="F529">
        <v>30</v>
      </c>
      <c r="G529">
        <v>60</v>
      </c>
      <c r="H529" s="9">
        <v>0</v>
      </c>
      <c r="I529">
        <v>16.53</v>
      </c>
      <c r="J529" s="10">
        <f t="shared" si="16"/>
        <v>7</v>
      </c>
      <c r="K529" s="11">
        <f t="shared" si="17"/>
        <v>0.27550000000000002</v>
      </c>
      <c r="L529" t="str">
        <f>VLOOKUP(C529,Customers!$A$2:$F$1001,2,FALSE())</f>
        <v>Patricia Flores</v>
      </c>
      <c r="M529" t="str">
        <f>VLOOKUP(C529,Customers!$A$2:$F$1001,3,FALSE())</f>
        <v>South</v>
      </c>
      <c r="N529" t="str">
        <f>VLOOKUP(C529,Customers!$A$2:$F$1001,4,FALSE())</f>
        <v>Home Office</v>
      </c>
    </row>
    <row r="530" spans="1:14" x14ac:dyDescent="0.25">
      <c r="A530">
        <v>529</v>
      </c>
      <c r="B530" t="s">
        <v>1997</v>
      </c>
      <c r="C530" t="s">
        <v>1008</v>
      </c>
      <c r="D530" t="s">
        <v>1814</v>
      </c>
      <c r="E530">
        <v>3</v>
      </c>
      <c r="F530">
        <v>50</v>
      </c>
      <c r="G530">
        <v>150</v>
      </c>
      <c r="H530" s="9">
        <v>0.15</v>
      </c>
      <c r="I530">
        <v>8.6</v>
      </c>
      <c r="J530" s="10">
        <f t="shared" si="16"/>
        <v>8</v>
      </c>
      <c r="K530" s="11">
        <f t="shared" si="17"/>
        <v>5.7333333333333333E-2</v>
      </c>
      <c r="L530" t="str">
        <f>VLOOKUP(C530,Customers!$A$2:$F$1001,2,FALSE())</f>
        <v>Daniel Walker</v>
      </c>
      <c r="M530" t="str">
        <f>VLOOKUP(C530,Customers!$A$2:$F$1001,3,FALSE())</f>
        <v>North</v>
      </c>
      <c r="N530" t="str">
        <f>VLOOKUP(C530,Customers!$A$2:$F$1001,4,FALSE())</f>
        <v>Home Office</v>
      </c>
    </row>
    <row r="531" spans="1:14" x14ac:dyDescent="0.25">
      <c r="A531">
        <v>530</v>
      </c>
      <c r="B531" t="s">
        <v>1871</v>
      </c>
      <c r="C531" t="s">
        <v>1010</v>
      </c>
      <c r="D531" t="s">
        <v>1816</v>
      </c>
      <c r="E531">
        <v>4</v>
      </c>
      <c r="F531">
        <v>30</v>
      </c>
      <c r="G531">
        <v>120</v>
      </c>
      <c r="H531" s="9">
        <v>0.05</v>
      </c>
      <c r="I531">
        <v>13.75</v>
      </c>
      <c r="J531" s="10">
        <f t="shared" si="16"/>
        <v>2</v>
      </c>
      <c r="K531" s="11">
        <f t="shared" si="17"/>
        <v>0.11458333333333333</v>
      </c>
      <c r="L531" t="str">
        <f>VLOOKUP(C531,Customers!$A$2:$F$1001,2,FALSE())</f>
        <v>Nancy Gonzalez</v>
      </c>
      <c r="M531" t="str">
        <f>VLOOKUP(C531,Customers!$A$2:$F$1001,3,FALSE())</f>
        <v>North</v>
      </c>
      <c r="N531" t="str">
        <f>VLOOKUP(C531,Customers!$A$2:$F$1001,4,FALSE())</f>
        <v>Corporate</v>
      </c>
    </row>
    <row r="532" spans="1:14" x14ac:dyDescent="0.25">
      <c r="A532">
        <v>531</v>
      </c>
      <c r="B532" t="s">
        <v>2088</v>
      </c>
      <c r="C532" t="s">
        <v>1012</v>
      </c>
      <c r="D532" t="s">
        <v>1816</v>
      </c>
      <c r="E532">
        <v>1</v>
      </c>
      <c r="F532">
        <v>500</v>
      </c>
      <c r="G532">
        <v>500</v>
      </c>
      <c r="H532" s="9">
        <v>0</v>
      </c>
      <c r="I532">
        <v>54.04</v>
      </c>
      <c r="J532" s="10">
        <f t="shared" si="16"/>
        <v>12</v>
      </c>
      <c r="K532" s="11">
        <f t="shared" si="17"/>
        <v>0.10808</v>
      </c>
      <c r="L532" t="str">
        <f>VLOOKUP(C532,Customers!$A$2:$F$1001,2,FALSE())</f>
        <v>Joshua Ramirez</v>
      </c>
      <c r="M532" t="str">
        <f>VLOOKUP(C532,Customers!$A$2:$F$1001,3,FALSE())</f>
        <v>South</v>
      </c>
      <c r="N532" t="str">
        <f>VLOOKUP(C532,Customers!$A$2:$F$1001,4,FALSE())</f>
        <v>Corporate</v>
      </c>
    </row>
    <row r="533" spans="1:14" x14ac:dyDescent="0.25">
      <c r="A533">
        <v>532</v>
      </c>
      <c r="B533" t="s">
        <v>1985</v>
      </c>
      <c r="C533" t="s">
        <v>1014</v>
      </c>
      <c r="D533" t="s">
        <v>1814</v>
      </c>
      <c r="E533">
        <v>4</v>
      </c>
      <c r="F533">
        <v>30</v>
      </c>
      <c r="G533">
        <v>120</v>
      </c>
      <c r="H533" s="9">
        <v>0</v>
      </c>
      <c r="I533">
        <v>26.54</v>
      </c>
      <c r="J533" s="10">
        <f t="shared" si="16"/>
        <v>6</v>
      </c>
      <c r="K533" s="11">
        <f t="shared" si="17"/>
        <v>0.22116666666666665</v>
      </c>
      <c r="L533" t="str">
        <f>VLOOKUP(C533,Customers!$A$2:$F$1001,2,FALSE())</f>
        <v>Linda Lewis</v>
      </c>
      <c r="M533" t="str">
        <f>VLOOKUP(C533,Customers!$A$2:$F$1001,3,FALSE())</f>
        <v>North</v>
      </c>
      <c r="N533" t="str">
        <f>VLOOKUP(C533,Customers!$A$2:$F$1001,4,FALSE())</f>
        <v>Corporate</v>
      </c>
    </row>
    <row r="534" spans="1:14" x14ac:dyDescent="0.25">
      <c r="A534">
        <v>533</v>
      </c>
      <c r="B534" t="s">
        <v>2089</v>
      </c>
      <c r="C534" t="s">
        <v>1016</v>
      </c>
      <c r="D534" t="s">
        <v>1816</v>
      </c>
      <c r="E534">
        <v>3</v>
      </c>
      <c r="F534">
        <v>500</v>
      </c>
      <c r="G534">
        <v>1500</v>
      </c>
      <c r="H534" s="9">
        <v>0.05</v>
      </c>
      <c r="I534">
        <v>149.99</v>
      </c>
      <c r="J534" s="10">
        <f t="shared" si="16"/>
        <v>11</v>
      </c>
      <c r="K534" s="11">
        <f t="shared" si="17"/>
        <v>9.9993333333333337E-2</v>
      </c>
      <c r="L534" t="str">
        <f>VLOOKUP(C534,Customers!$A$2:$F$1001,2,FALSE())</f>
        <v>Donna Thomas</v>
      </c>
      <c r="M534" t="str">
        <f>VLOOKUP(C534,Customers!$A$2:$F$1001,3,FALSE())</f>
        <v>East</v>
      </c>
      <c r="N534" t="str">
        <f>VLOOKUP(C534,Customers!$A$2:$F$1001,4,FALSE())</f>
        <v>Corporate</v>
      </c>
    </row>
    <row r="535" spans="1:14" x14ac:dyDescent="0.25">
      <c r="A535">
        <v>534</v>
      </c>
      <c r="B535" t="s">
        <v>2024</v>
      </c>
      <c r="C535" t="s">
        <v>1018</v>
      </c>
      <c r="D535" t="s">
        <v>1814</v>
      </c>
      <c r="E535">
        <v>2</v>
      </c>
      <c r="F535">
        <v>500</v>
      </c>
      <c r="G535">
        <v>1000</v>
      </c>
      <c r="H535" s="9">
        <v>0</v>
      </c>
      <c r="I535">
        <v>185.25</v>
      </c>
      <c r="J535" s="10">
        <f t="shared" si="16"/>
        <v>6</v>
      </c>
      <c r="K535" s="11">
        <f t="shared" si="17"/>
        <v>0.18525</v>
      </c>
      <c r="L535" t="str">
        <f>VLOOKUP(C535,Customers!$A$2:$F$1001,2,FALSE())</f>
        <v>George Sanchez</v>
      </c>
      <c r="M535" t="str">
        <f>VLOOKUP(C535,Customers!$A$2:$F$1001,3,FALSE())</f>
        <v>East</v>
      </c>
      <c r="N535" t="str">
        <f>VLOOKUP(C535,Customers!$A$2:$F$1001,4,FALSE())</f>
        <v>Consumer</v>
      </c>
    </row>
    <row r="536" spans="1:14" x14ac:dyDescent="0.25">
      <c r="A536">
        <v>535</v>
      </c>
      <c r="B536" t="s">
        <v>2051</v>
      </c>
      <c r="C536" t="s">
        <v>1020</v>
      </c>
      <c r="D536" t="s">
        <v>1812</v>
      </c>
      <c r="E536">
        <v>3</v>
      </c>
      <c r="F536">
        <v>30</v>
      </c>
      <c r="G536">
        <v>90</v>
      </c>
      <c r="H536" s="9">
        <v>0.1</v>
      </c>
      <c r="I536">
        <v>20.6</v>
      </c>
      <c r="J536" s="10">
        <f t="shared" si="16"/>
        <v>12</v>
      </c>
      <c r="K536" s="11">
        <f t="shared" si="17"/>
        <v>0.22888888888888889</v>
      </c>
      <c r="L536" t="str">
        <f>VLOOKUP(C536,Customers!$A$2:$F$1001,2,FALSE())</f>
        <v>Thomas Smith</v>
      </c>
      <c r="M536" t="str">
        <f>VLOOKUP(C536,Customers!$A$2:$F$1001,3,FALSE())</f>
        <v>North</v>
      </c>
      <c r="N536" t="str">
        <f>VLOOKUP(C536,Customers!$A$2:$F$1001,4,FALSE())</f>
        <v>Home Office</v>
      </c>
    </row>
    <row r="537" spans="1:14" x14ac:dyDescent="0.25">
      <c r="A537">
        <v>536</v>
      </c>
      <c r="B537" t="s">
        <v>1860</v>
      </c>
      <c r="C537" t="s">
        <v>1021</v>
      </c>
      <c r="D537" t="s">
        <v>1812</v>
      </c>
      <c r="E537">
        <v>4</v>
      </c>
      <c r="F537">
        <v>30</v>
      </c>
      <c r="G537">
        <v>120</v>
      </c>
      <c r="H537" s="9">
        <v>0.15</v>
      </c>
      <c r="I537">
        <v>16.73</v>
      </c>
      <c r="J537" s="10">
        <f t="shared" si="16"/>
        <v>3</v>
      </c>
      <c r="K537" s="11">
        <f t="shared" si="17"/>
        <v>0.13941666666666666</v>
      </c>
      <c r="L537" t="str">
        <f>VLOOKUP(C537,Customers!$A$2:$F$1001,2,FALSE())</f>
        <v>Kimberly Rodriguez</v>
      </c>
      <c r="M537" t="str">
        <f>VLOOKUP(C537,Customers!$A$2:$F$1001,3,FALSE())</f>
        <v>South</v>
      </c>
      <c r="N537" t="str">
        <f>VLOOKUP(C537,Customers!$A$2:$F$1001,4,FALSE())</f>
        <v>Corporate</v>
      </c>
    </row>
    <row r="538" spans="1:14" x14ac:dyDescent="0.25">
      <c r="A538">
        <v>537</v>
      </c>
      <c r="B538" t="s">
        <v>2040</v>
      </c>
      <c r="C538" t="s">
        <v>1023</v>
      </c>
      <c r="D538" t="s">
        <v>1812</v>
      </c>
      <c r="E538">
        <v>1</v>
      </c>
      <c r="F538">
        <v>500</v>
      </c>
      <c r="G538">
        <v>500</v>
      </c>
      <c r="H538" s="9">
        <v>0</v>
      </c>
      <c r="I538">
        <v>176.52</v>
      </c>
      <c r="J538" s="10">
        <f t="shared" si="16"/>
        <v>6</v>
      </c>
      <c r="K538" s="11">
        <f t="shared" si="17"/>
        <v>0.35304000000000002</v>
      </c>
      <c r="L538" t="str">
        <f>VLOOKUP(C538,Customers!$A$2:$F$1001,2,FALSE())</f>
        <v>Donna Perez</v>
      </c>
      <c r="M538" t="str">
        <f>VLOOKUP(C538,Customers!$A$2:$F$1001,3,FALSE())</f>
        <v>West</v>
      </c>
      <c r="N538" t="str">
        <f>VLOOKUP(C538,Customers!$A$2:$F$1001,4,FALSE())</f>
        <v>Corporate</v>
      </c>
    </row>
    <row r="539" spans="1:14" x14ac:dyDescent="0.25">
      <c r="A539">
        <v>538</v>
      </c>
      <c r="B539" t="s">
        <v>1943</v>
      </c>
      <c r="C539" t="s">
        <v>1025</v>
      </c>
      <c r="D539" t="s">
        <v>1814</v>
      </c>
      <c r="E539">
        <v>3</v>
      </c>
      <c r="F539">
        <v>50</v>
      </c>
      <c r="G539">
        <v>150</v>
      </c>
      <c r="H539" s="9">
        <v>0.1</v>
      </c>
      <c r="I539">
        <v>14.65</v>
      </c>
      <c r="J539" s="10">
        <f t="shared" si="16"/>
        <v>9</v>
      </c>
      <c r="K539" s="11">
        <f t="shared" si="17"/>
        <v>9.7666666666666666E-2</v>
      </c>
      <c r="L539" t="str">
        <f>VLOOKUP(C539,Customers!$A$2:$F$1001,2,FALSE())</f>
        <v>Lisa Miller</v>
      </c>
      <c r="M539" t="str">
        <f>VLOOKUP(C539,Customers!$A$2:$F$1001,3,FALSE())</f>
        <v>East</v>
      </c>
      <c r="N539" t="str">
        <f>VLOOKUP(C539,Customers!$A$2:$F$1001,4,FALSE())</f>
        <v>Consumer</v>
      </c>
    </row>
    <row r="540" spans="1:14" x14ac:dyDescent="0.25">
      <c r="A540">
        <v>539</v>
      </c>
      <c r="B540" t="s">
        <v>2090</v>
      </c>
      <c r="C540" t="s">
        <v>1027</v>
      </c>
      <c r="D540" t="s">
        <v>1812</v>
      </c>
      <c r="E540">
        <v>1</v>
      </c>
      <c r="F540">
        <v>500</v>
      </c>
      <c r="G540">
        <v>500</v>
      </c>
      <c r="H540" s="9">
        <v>0</v>
      </c>
      <c r="I540">
        <v>181.36</v>
      </c>
      <c r="J540" s="10">
        <f t="shared" si="16"/>
        <v>6</v>
      </c>
      <c r="K540" s="11">
        <f t="shared" si="17"/>
        <v>0.36272000000000004</v>
      </c>
      <c r="L540" t="str">
        <f>VLOOKUP(C540,Customers!$A$2:$F$1001,2,FALSE())</f>
        <v>Emily Miller</v>
      </c>
      <c r="M540" t="str">
        <f>VLOOKUP(C540,Customers!$A$2:$F$1001,3,FALSE())</f>
        <v>West</v>
      </c>
      <c r="N540" t="str">
        <f>VLOOKUP(C540,Customers!$A$2:$F$1001,4,FALSE())</f>
        <v>Consumer</v>
      </c>
    </row>
    <row r="541" spans="1:14" x14ac:dyDescent="0.25">
      <c r="A541">
        <v>540</v>
      </c>
      <c r="B541" t="s">
        <v>2050</v>
      </c>
      <c r="C541" t="s">
        <v>1028</v>
      </c>
      <c r="D541" t="s">
        <v>1816</v>
      </c>
      <c r="E541">
        <v>3</v>
      </c>
      <c r="F541">
        <v>300</v>
      </c>
      <c r="G541">
        <v>900</v>
      </c>
      <c r="H541" s="9">
        <v>0.05</v>
      </c>
      <c r="I541">
        <v>81.52</v>
      </c>
      <c r="J541" s="10">
        <f t="shared" si="16"/>
        <v>12</v>
      </c>
      <c r="K541" s="11">
        <f t="shared" si="17"/>
        <v>9.0577777777777771E-2</v>
      </c>
      <c r="L541" t="str">
        <f>VLOOKUP(C541,Customers!$A$2:$F$1001,2,FALSE())</f>
        <v>Christopher King</v>
      </c>
      <c r="M541" t="str">
        <f>VLOOKUP(C541,Customers!$A$2:$F$1001,3,FALSE())</f>
        <v>South</v>
      </c>
      <c r="N541" t="str">
        <f>VLOOKUP(C541,Customers!$A$2:$F$1001,4,FALSE())</f>
        <v>Corporate</v>
      </c>
    </row>
    <row r="542" spans="1:14" x14ac:dyDescent="0.25">
      <c r="A542">
        <v>541</v>
      </c>
      <c r="B542" t="s">
        <v>2091</v>
      </c>
      <c r="C542" t="s">
        <v>1030</v>
      </c>
      <c r="D542" t="s">
        <v>1812</v>
      </c>
      <c r="E542">
        <v>1</v>
      </c>
      <c r="F542">
        <v>500</v>
      </c>
      <c r="G542">
        <v>500</v>
      </c>
      <c r="H542" s="9">
        <v>0.2</v>
      </c>
      <c r="I542">
        <v>76.010000000000005</v>
      </c>
      <c r="J542" s="10">
        <f t="shared" si="16"/>
        <v>7</v>
      </c>
      <c r="K542" s="11">
        <f t="shared" si="17"/>
        <v>0.15202000000000002</v>
      </c>
      <c r="L542" t="str">
        <f>VLOOKUP(C542,Customers!$A$2:$F$1001,2,FALSE())</f>
        <v>George Flores</v>
      </c>
      <c r="M542" t="str">
        <f>VLOOKUP(C542,Customers!$A$2:$F$1001,3,FALSE())</f>
        <v>West</v>
      </c>
      <c r="N542" t="str">
        <f>VLOOKUP(C542,Customers!$A$2:$F$1001,4,FALSE())</f>
        <v>Corporate</v>
      </c>
    </row>
    <row r="543" spans="1:14" x14ac:dyDescent="0.25">
      <c r="A543">
        <v>542</v>
      </c>
      <c r="B543" t="s">
        <v>2092</v>
      </c>
      <c r="C543" t="s">
        <v>1032</v>
      </c>
      <c r="D543" t="s">
        <v>1812</v>
      </c>
      <c r="E543">
        <v>1</v>
      </c>
      <c r="F543">
        <v>50</v>
      </c>
      <c r="G543">
        <v>50</v>
      </c>
      <c r="H543" s="9">
        <v>0.05</v>
      </c>
      <c r="I543">
        <v>14.51</v>
      </c>
      <c r="J543" s="10">
        <f t="shared" si="16"/>
        <v>6</v>
      </c>
      <c r="K543" s="11">
        <f t="shared" si="17"/>
        <v>0.29020000000000001</v>
      </c>
      <c r="L543" t="str">
        <f>VLOOKUP(C543,Customers!$A$2:$F$1001,2,FALSE())</f>
        <v>Melissa Thompson</v>
      </c>
      <c r="M543" t="str">
        <f>VLOOKUP(C543,Customers!$A$2:$F$1001,3,FALSE())</f>
        <v>North</v>
      </c>
      <c r="N543" t="str">
        <f>VLOOKUP(C543,Customers!$A$2:$F$1001,4,FALSE())</f>
        <v>Consumer</v>
      </c>
    </row>
    <row r="544" spans="1:14" x14ac:dyDescent="0.25">
      <c r="A544">
        <v>543</v>
      </c>
      <c r="B544" t="s">
        <v>2005</v>
      </c>
      <c r="C544" t="s">
        <v>1034</v>
      </c>
      <c r="D544" t="s">
        <v>1812</v>
      </c>
      <c r="E544">
        <v>2</v>
      </c>
      <c r="F544">
        <v>300</v>
      </c>
      <c r="G544">
        <v>600</v>
      </c>
      <c r="H544" s="9">
        <v>0.2</v>
      </c>
      <c r="I544">
        <v>52.16</v>
      </c>
      <c r="J544" s="10">
        <f t="shared" si="16"/>
        <v>7</v>
      </c>
      <c r="K544" s="11">
        <f t="shared" si="17"/>
        <v>8.6933333333333321E-2</v>
      </c>
      <c r="L544" t="str">
        <f>VLOOKUP(C544,Customers!$A$2:$F$1001,2,FALSE())</f>
        <v>William King</v>
      </c>
      <c r="M544" t="str">
        <f>VLOOKUP(C544,Customers!$A$2:$F$1001,3,FALSE())</f>
        <v>South</v>
      </c>
      <c r="N544" t="str">
        <f>VLOOKUP(C544,Customers!$A$2:$F$1001,4,FALSE())</f>
        <v>Consumer</v>
      </c>
    </row>
    <row r="545" spans="1:14" x14ac:dyDescent="0.25">
      <c r="A545">
        <v>544</v>
      </c>
      <c r="B545" t="s">
        <v>2018</v>
      </c>
      <c r="C545" t="s">
        <v>1036</v>
      </c>
      <c r="D545" t="s">
        <v>1816</v>
      </c>
      <c r="E545">
        <v>1</v>
      </c>
      <c r="F545">
        <v>25</v>
      </c>
      <c r="G545">
        <v>25</v>
      </c>
      <c r="H545" s="9">
        <v>0</v>
      </c>
      <c r="I545">
        <v>3.56</v>
      </c>
      <c r="J545" s="10">
        <f t="shared" si="16"/>
        <v>12</v>
      </c>
      <c r="K545" s="11">
        <f t="shared" si="17"/>
        <v>0.1424</v>
      </c>
      <c r="L545" t="str">
        <f>VLOOKUP(C545,Customers!$A$2:$F$1001,2,FALSE())</f>
        <v>Kenneth Flores</v>
      </c>
      <c r="M545" t="str">
        <f>VLOOKUP(C545,Customers!$A$2:$F$1001,3,FALSE())</f>
        <v>North</v>
      </c>
      <c r="N545" t="str">
        <f>VLOOKUP(C545,Customers!$A$2:$F$1001,4,FALSE())</f>
        <v>Consumer</v>
      </c>
    </row>
    <row r="546" spans="1:14" x14ac:dyDescent="0.25">
      <c r="A546">
        <v>545</v>
      </c>
      <c r="B546" t="s">
        <v>2021</v>
      </c>
      <c r="C546" t="s">
        <v>1038</v>
      </c>
      <c r="D546" t="s">
        <v>1814</v>
      </c>
      <c r="E546">
        <v>2</v>
      </c>
      <c r="F546">
        <v>25</v>
      </c>
      <c r="G546">
        <v>50</v>
      </c>
      <c r="H546" s="9">
        <v>0.05</v>
      </c>
      <c r="I546">
        <v>7.48</v>
      </c>
      <c r="J546" s="10">
        <f t="shared" si="16"/>
        <v>6</v>
      </c>
      <c r="K546" s="11">
        <f t="shared" si="17"/>
        <v>0.14960000000000001</v>
      </c>
      <c r="L546" t="str">
        <f>VLOOKUP(C546,Customers!$A$2:$F$1001,2,FALSE())</f>
        <v>Steven Garcia</v>
      </c>
      <c r="M546" t="str">
        <f>VLOOKUP(C546,Customers!$A$2:$F$1001,3,FALSE())</f>
        <v>South</v>
      </c>
      <c r="N546" t="str">
        <f>VLOOKUP(C546,Customers!$A$2:$F$1001,4,FALSE())</f>
        <v>Corporate</v>
      </c>
    </row>
    <row r="547" spans="1:14" x14ac:dyDescent="0.25">
      <c r="A547">
        <v>546</v>
      </c>
      <c r="B547" t="s">
        <v>1934</v>
      </c>
      <c r="C547" t="s">
        <v>1040</v>
      </c>
      <c r="D547" t="s">
        <v>1816</v>
      </c>
      <c r="E547">
        <v>4</v>
      </c>
      <c r="F547">
        <v>50</v>
      </c>
      <c r="G547">
        <v>200</v>
      </c>
      <c r="H547" s="9">
        <v>0.05</v>
      </c>
      <c r="I547">
        <v>20.440000000000001</v>
      </c>
      <c r="J547" s="10">
        <f t="shared" si="16"/>
        <v>10</v>
      </c>
      <c r="K547" s="11">
        <f t="shared" si="17"/>
        <v>0.10220000000000001</v>
      </c>
      <c r="L547" t="str">
        <f>VLOOKUP(C547,Customers!$A$2:$F$1001,2,FALSE())</f>
        <v>Margaret Moore</v>
      </c>
      <c r="M547" t="str">
        <f>VLOOKUP(C547,Customers!$A$2:$F$1001,3,FALSE())</f>
        <v>South</v>
      </c>
      <c r="N547" t="str">
        <f>VLOOKUP(C547,Customers!$A$2:$F$1001,4,FALSE())</f>
        <v>Consumer</v>
      </c>
    </row>
    <row r="548" spans="1:14" x14ac:dyDescent="0.25">
      <c r="A548">
        <v>547</v>
      </c>
      <c r="B548" t="s">
        <v>1964</v>
      </c>
      <c r="C548" t="s">
        <v>1042</v>
      </c>
      <c r="D548" t="s">
        <v>1814</v>
      </c>
      <c r="E548">
        <v>4</v>
      </c>
      <c r="F548">
        <v>500</v>
      </c>
      <c r="G548">
        <v>2000</v>
      </c>
      <c r="H548" s="9">
        <v>0.05</v>
      </c>
      <c r="I548">
        <v>415.39</v>
      </c>
      <c r="J548" s="10">
        <f t="shared" si="16"/>
        <v>3</v>
      </c>
      <c r="K548" s="11">
        <f t="shared" si="17"/>
        <v>0.20769499999999999</v>
      </c>
      <c r="L548" t="str">
        <f>VLOOKUP(C548,Customers!$A$2:$F$1001,2,FALSE())</f>
        <v>Kevin Thomas</v>
      </c>
      <c r="M548" t="str">
        <f>VLOOKUP(C548,Customers!$A$2:$F$1001,3,FALSE())</f>
        <v>North</v>
      </c>
      <c r="N548" t="str">
        <f>VLOOKUP(C548,Customers!$A$2:$F$1001,4,FALSE())</f>
        <v>Home Office</v>
      </c>
    </row>
    <row r="549" spans="1:14" x14ac:dyDescent="0.25">
      <c r="A549">
        <v>548</v>
      </c>
      <c r="B549" t="s">
        <v>1869</v>
      </c>
      <c r="C549" t="s">
        <v>1043</v>
      </c>
      <c r="D549" t="s">
        <v>1814</v>
      </c>
      <c r="E549">
        <v>2</v>
      </c>
      <c r="F549">
        <v>30</v>
      </c>
      <c r="G549">
        <v>60</v>
      </c>
      <c r="H549" s="9">
        <v>0.25</v>
      </c>
      <c r="I549">
        <v>1.44</v>
      </c>
      <c r="J549" s="10">
        <f t="shared" si="16"/>
        <v>4</v>
      </c>
      <c r="K549" s="11">
        <f t="shared" si="17"/>
        <v>2.4E-2</v>
      </c>
      <c r="L549" t="str">
        <f>VLOOKUP(C549,Customers!$A$2:$F$1001,2,FALSE())</f>
        <v>Thomas Brown</v>
      </c>
      <c r="M549" t="str">
        <f>VLOOKUP(C549,Customers!$A$2:$F$1001,3,FALSE())</f>
        <v>East</v>
      </c>
      <c r="N549" t="str">
        <f>VLOOKUP(C549,Customers!$A$2:$F$1001,4,FALSE())</f>
        <v>Consumer</v>
      </c>
    </row>
    <row r="550" spans="1:14" x14ac:dyDescent="0.25">
      <c r="A550">
        <v>549</v>
      </c>
      <c r="B550" t="s">
        <v>2093</v>
      </c>
      <c r="C550" t="s">
        <v>1045</v>
      </c>
      <c r="D550" t="s">
        <v>1812</v>
      </c>
      <c r="E550">
        <v>2</v>
      </c>
      <c r="F550">
        <v>50</v>
      </c>
      <c r="G550">
        <v>100</v>
      </c>
      <c r="H550" s="9">
        <v>0</v>
      </c>
      <c r="I550">
        <v>33.130000000000003</v>
      </c>
      <c r="J550" s="10">
        <f t="shared" si="16"/>
        <v>8</v>
      </c>
      <c r="K550" s="11">
        <f t="shared" si="17"/>
        <v>0.33130000000000004</v>
      </c>
      <c r="L550" t="str">
        <f>VLOOKUP(C550,Customers!$A$2:$F$1001,2,FALSE())</f>
        <v>Dorothy Walker</v>
      </c>
      <c r="M550" t="str">
        <f>VLOOKUP(C550,Customers!$A$2:$F$1001,3,FALSE())</f>
        <v>South</v>
      </c>
      <c r="N550" t="str">
        <f>VLOOKUP(C550,Customers!$A$2:$F$1001,4,FALSE())</f>
        <v>Consumer</v>
      </c>
    </row>
    <row r="551" spans="1:14" x14ac:dyDescent="0.25">
      <c r="A551">
        <v>550</v>
      </c>
      <c r="B551" t="s">
        <v>2088</v>
      </c>
      <c r="C551" t="s">
        <v>1047</v>
      </c>
      <c r="D551" t="s">
        <v>1814</v>
      </c>
      <c r="E551">
        <v>3</v>
      </c>
      <c r="F551">
        <v>300</v>
      </c>
      <c r="G551">
        <v>900</v>
      </c>
      <c r="H551" s="9">
        <v>0.15</v>
      </c>
      <c r="I551">
        <v>55.77</v>
      </c>
      <c r="J551" s="10">
        <f t="shared" si="16"/>
        <v>12</v>
      </c>
      <c r="K551" s="11">
        <f t="shared" si="17"/>
        <v>6.196666666666667E-2</v>
      </c>
      <c r="L551" t="str">
        <f>VLOOKUP(C551,Customers!$A$2:$F$1001,2,FALSE())</f>
        <v>Robert Moore</v>
      </c>
      <c r="M551" t="str">
        <f>VLOOKUP(C551,Customers!$A$2:$F$1001,3,FALSE())</f>
        <v>North</v>
      </c>
      <c r="N551" t="str">
        <f>VLOOKUP(C551,Customers!$A$2:$F$1001,4,FALSE())</f>
        <v>Consumer</v>
      </c>
    </row>
    <row r="552" spans="1:14" x14ac:dyDescent="0.25">
      <c r="A552">
        <v>551</v>
      </c>
      <c r="B552" t="s">
        <v>1851</v>
      </c>
      <c r="C552" t="s">
        <v>1049</v>
      </c>
      <c r="D552" t="s">
        <v>1816</v>
      </c>
      <c r="E552">
        <v>3</v>
      </c>
      <c r="F552">
        <v>300</v>
      </c>
      <c r="G552">
        <v>900</v>
      </c>
      <c r="H552" s="9">
        <v>0.15</v>
      </c>
      <c r="I552">
        <v>-42.55</v>
      </c>
      <c r="J552" s="10">
        <f t="shared" si="16"/>
        <v>7</v>
      </c>
      <c r="K552" s="11">
        <f t="shared" si="17"/>
        <v>-4.7277777777777773E-2</v>
      </c>
      <c r="L552" t="str">
        <f>VLOOKUP(C552,Customers!$A$2:$F$1001,2,FALSE())</f>
        <v>Lisa Jackson</v>
      </c>
      <c r="M552" t="str">
        <f>VLOOKUP(C552,Customers!$A$2:$F$1001,3,FALSE())</f>
        <v>North</v>
      </c>
      <c r="N552" t="str">
        <f>VLOOKUP(C552,Customers!$A$2:$F$1001,4,FALSE())</f>
        <v>Corporate</v>
      </c>
    </row>
    <row r="553" spans="1:14" x14ac:dyDescent="0.25">
      <c r="A553">
        <v>552</v>
      </c>
      <c r="B553" t="s">
        <v>1822</v>
      </c>
      <c r="C553" t="s">
        <v>1050</v>
      </c>
      <c r="D553" t="s">
        <v>1816</v>
      </c>
      <c r="E553">
        <v>3</v>
      </c>
      <c r="F553">
        <v>25</v>
      </c>
      <c r="G553">
        <v>75</v>
      </c>
      <c r="H553" s="9">
        <v>0.1</v>
      </c>
      <c r="I553">
        <v>2.73</v>
      </c>
      <c r="J553" s="10">
        <f t="shared" si="16"/>
        <v>12</v>
      </c>
      <c r="K553" s="11">
        <f t="shared" si="17"/>
        <v>3.6400000000000002E-2</v>
      </c>
      <c r="L553" t="str">
        <f>VLOOKUP(C553,Customers!$A$2:$F$1001,2,FALSE())</f>
        <v>Amanda Miller</v>
      </c>
      <c r="M553" t="str">
        <f>VLOOKUP(C553,Customers!$A$2:$F$1001,3,FALSE())</f>
        <v>South</v>
      </c>
      <c r="N553" t="str">
        <f>VLOOKUP(C553,Customers!$A$2:$F$1001,4,FALSE())</f>
        <v>Consumer</v>
      </c>
    </row>
    <row r="554" spans="1:14" x14ac:dyDescent="0.25">
      <c r="A554">
        <v>553</v>
      </c>
      <c r="B554" t="s">
        <v>2094</v>
      </c>
      <c r="C554" t="s">
        <v>1052</v>
      </c>
      <c r="D554" t="s">
        <v>1814</v>
      </c>
      <c r="E554">
        <v>4</v>
      </c>
      <c r="F554">
        <v>300</v>
      </c>
      <c r="G554">
        <v>1200</v>
      </c>
      <c r="H554" s="9">
        <v>0.05</v>
      </c>
      <c r="I554">
        <v>241.74</v>
      </c>
      <c r="J554" s="10">
        <f t="shared" si="16"/>
        <v>3</v>
      </c>
      <c r="K554" s="11">
        <f t="shared" si="17"/>
        <v>0.20145000000000002</v>
      </c>
      <c r="L554" t="str">
        <f>VLOOKUP(C554,Customers!$A$2:$F$1001,2,FALSE())</f>
        <v>Jessica Davis</v>
      </c>
      <c r="M554" t="str">
        <f>VLOOKUP(C554,Customers!$A$2:$F$1001,3,FALSE())</f>
        <v>South</v>
      </c>
      <c r="N554" t="str">
        <f>VLOOKUP(C554,Customers!$A$2:$F$1001,4,FALSE())</f>
        <v>Corporate</v>
      </c>
    </row>
    <row r="555" spans="1:14" x14ac:dyDescent="0.25">
      <c r="A555">
        <v>554</v>
      </c>
      <c r="B555" t="s">
        <v>2095</v>
      </c>
      <c r="C555" t="s">
        <v>1054</v>
      </c>
      <c r="D555" t="s">
        <v>1812</v>
      </c>
      <c r="E555">
        <v>3</v>
      </c>
      <c r="F555">
        <v>50</v>
      </c>
      <c r="G555">
        <v>150</v>
      </c>
      <c r="H555" s="9">
        <v>0.05</v>
      </c>
      <c r="I555">
        <v>43.26</v>
      </c>
      <c r="J555" s="10">
        <f t="shared" si="16"/>
        <v>11</v>
      </c>
      <c r="K555" s="11">
        <f t="shared" si="17"/>
        <v>0.28839999999999999</v>
      </c>
      <c r="L555" t="str">
        <f>VLOOKUP(C555,Customers!$A$2:$F$1001,2,FALSE())</f>
        <v>Richard Torres</v>
      </c>
      <c r="M555" t="str">
        <f>VLOOKUP(C555,Customers!$A$2:$F$1001,3,FALSE())</f>
        <v>South</v>
      </c>
      <c r="N555" t="str">
        <f>VLOOKUP(C555,Customers!$A$2:$F$1001,4,FALSE())</f>
        <v>Home Office</v>
      </c>
    </row>
    <row r="556" spans="1:14" x14ac:dyDescent="0.25">
      <c r="A556">
        <v>555</v>
      </c>
      <c r="B556" t="s">
        <v>2032</v>
      </c>
      <c r="C556" t="s">
        <v>1056</v>
      </c>
      <c r="D556" t="s">
        <v>1812</v>
      </c>
      <c r="E556">
        <v>1</v>
      </c>
      <c r="F556">
        <v>300</v>
      </c>
      <c r="G556">
        <v>300</v>
      </c>
      <c r="H556" s="9">
        <v>0</v>
      </c>
      <c r="I556">
        <v>114.78</v>
      </c>
      <c r="J556" s="10">
        <f t="shared" si="16"/>
        <v>10</v>
      </c>
      <c r="K556" s="11">
        <f t="shared" si="17"/>
        <v>0.3826</v>
      </c>
      <c r="L556" t="str">
        <f>VLOOKUP(C556,Customers!$A$2:$F$1001,2,FALSE())</f>
        <v>Melissa Johnson</v>
      </c>
      <c r="M556" t="str">
        <f>VLOOKUP(C556,Customers!$A$2:$F$1001,3,FALSE())</f>
        <v>North</v>
      </c>
      <c r="N556" t="str">
        <f>VLOOKUP(C556,Customers!$A$2:$F$1001,4,FALSE())</f>
        <v>Consumer</v>
      </c>
    </row>
    <row r="557" spans="1:14" x14ac:dyDescent="0.25">
      <c r="A557">
        <v>556</v>
      </c>
      <c r="B557" t="s">
        <v>2048</v>
      </c>
      <c r="C557" t="s">
        <v>1058</v>
      </c>
      <c r="D557" t="s">
        <v>1816</v>
      </c>
      <c r="E557">
        <v>1</v>
      </c>
      <c r="F557">
        <v>50</v>
      </c>
      <c r="G557">
        <v>50</v>
      </c>
      <c r="H557" s="9">
        <v>0.15</v>
      </c>
      <c r="I557">
        <v>-2.4300000000000002</v>
      </c>
      <c r="J557" s="10">
        <f t="shared" si="16"/>
        <v>6</v>
      </c>
      <c r="K557" s="11">
        <f t="shared" si="17"/>
        <v>-4.8600000000000004E-2</v>
      </c>
      <c r="L557" t="str">
        <f>VLOOKUP(C557,Customers!$A$2:$F$1001,2,FALSE())</f>
        <v>Ashley Martinez</v>
      </c>
      <c r="M557" t="str">
        <f>VLOOKUP(C557,Customers!$A$2:$F$1001,3,FALSE())</f>
        <v>East</v>
      </c>
      <c r="N557" t="str">
        <f>VLOOKUP(C557,Customers!$A$2:$F$1001,4,FALSE())</f>
        <v>Corporate</v>
      </c>
    </row>
    <row r="558" spans="1:14" x14ac:dyDescent="0.25">
      <c r="A558">
        <v>557</v>
      </c>
      <c r="B558" t="s">
        <v>2096</v>
      </c>
      <c r="C558" t="s">
        <v>1060</v>
      </c>
      <c r="D558" t="s">
        <v>1812</v>
      </c>
      <c r="E558">
        <v>3</v>
      </c>
      <c r="F558">
        <v>30</v>
      </c>
      <c r="G558">
        <v>90</v>
      </c>
      <c r="H558" s="9">
        <v>0.05</v>
      </c>
      <c r="I558">
        <v>28.76</v>
      </c>
      <c r="J558" s="10">
        <f t="shared" si="16"/>
        <v>7</v>
      </c>
      <c r="K558" s="11">
        <f t="shared" si="17"/>
        <v>0.31955555555555559</v>
      </c>
      <c r="L558" t="str">
        <f>VLOOKUP(C558,Customers!$A$2:$F$1001,2,FALSE())</f>
        <v>Elizabeth Lopez</v>
      </c>
      <c r="M558" t="str">
        <f>VLOOKUP(C558,Customers!$A$2:$F$1001,3,FALSE())</f>
        <v>West</v>
      </c>
      <c r="N558" t="str">
        <f>VLOOKUP(C558,Customers!$A$2:$F$1001,4,FALSE())</f>
        <v>Consumer</v>
      </c>
    </row>
    <row r="559" spans="1:14" x14ac:dyDescent="0.25">
      <c r="A559">
        <v>558</v>
      </c>
      <c r="B559" t="s">
        <v>2097</v>
      </c>
      <c r="C559" t="s">
        <v>1062</v>
      </c>
      <c r="D559" t="s">
        <v>1814</v>
      </c>
      <c r="E559">
        <v>1</v>
      </c>
      <c r="F559">
        <v>25</v>
      </c>
      <c r="G559">
        <v>25</v>
      </c>
      <c r="H559" s="9">
        <v>0.2</v>
      </c>
      <c r="I559">
        <v>0.65</v>
      </c>
      <c r="J559" s="10">
        <f t="shared" si="16"/>
        <v>10</v>
      </c>
      <c r="K559" s="11">
        <f t="shared" si="17"/>
        <v>2.6000000000000002E-2</v>
      </c>
      <c r="L559" t="str">
        <f>VLOOKUP(C559,Customers!$A$2:$F$1001,2,FALSE())</f>
        <v>Elizabeth Martin</v>
      </c>
      <c r="M559" t="str">
        <f>VLOOKUP(C559,Customers!$A$2:$F$1001,3,FALSE())</f>
        <v>South</v>
      </c>
      <c r="N559" t="str">
        <f>VLOOKUP(C559,Customers!$A$2:$F$1001,4,FALSE())</f>
        <v>Consumer</v>
      </c>
    </row>
    <row r="560" spans="1:14" x14ac:dyDescent="0.25">
      <c r="A560">
        <v>559</v>
      </c>
      <c r="B560" t="s">
        <v>1951</v>
      </c>
      <c r="C560" t="s">
        <v>1064</v>
      </c>
      <c r="D560" t="s">
        <v>1814</v>
      </c>
      <c r="E560">
        <v>4</v>
      </c>
      <c r="F560">
        <v>300</v>
      </c>
      <c r="G560">
        <v>1200</v>
      </c>
      <c r="H560" s="9">
        <v>0.1</v>
      </c>
      <c r="I560">
        <v>155.57</v>
      </c>
      <c r="J560" s="10">
        <f t="shared" si="16"/>
        <v>1</v>
      </c>
      <c r="K560" s="11">
        <f t="shared" si="17"/>
        <v>0.12964166666666666</v>
      </c>
      <c r="L560" t="str">
        <f>VLOOKUP(C560,Customers!$A$2:$F$1001,2,FALSE())</f>
        <v>Deborah White</v>
      </c>
      <c r="M560" t="str">
        <f>VLOOKUP(C560,Customers!$A$2:$F$1001,3,FALSE())</f>
        <v>East</v>
      </c>
      <c r="N560" t="str">
        <f>VLOOKUP(C560,Customers!$A$2:$F$1001,4,FALSE())</f>
        <v>Consumer</v>
      </c>
    </row>
    <row r="561" spans="1:14" x14ac:dyDescent="0.25">
      <c r="A561">
        <v>560</v>
      </c>
      <c r="B561" t="s">
        <v>2098</v>
      </c>
      <c r="C561" t="s">
        <v>1065</v>
      </c>
      <c r="D561" t="s">
        <v>1816</v>
      </c>
      <c r="E561">
        <v>1</v>
      </c>
      <c r="F561">
        <v>50</v>
      </c>
      <c r="G561">
        <v>50</v>
      </c>
      <c r="H561" s="9">
        <v>0.05</v>
      </c>
      <c r="I561">
        <v>4.03</v>
      </c>
      <c r="J561" s="10">
        <f t="shared" si="16"/>
        <v>6</v>
      </c>
      <c r="K561" s="11">
        <f t="shared" si="17"/>
        <v>8.0600000000000005E-2</v>
      </c>
      <c r="L561" t="str">
        <f>VLOOKUP(C561,Customers!$A$2:$F$1001,2,FALSE())</f>
        <v>Andrew Martin</v>
      </c>
      <c r="M561" t="str">
        <f>VLOOKUP(C561,Customers!$A$2:$F$1001,3,FALSE())</f>
        <v>West</v>
      </c>
      <c r="N561" t="str">
        <f>VLOOKUP(C561,Customers!$A$2:$F$1001,4,FALSE())</f>
        <v>Consumer</v>
      </c>
    </row>
    <row r="562" spans="1:14" x14ac:dyDescent="0.25">
      <c r="A562">
        <v>561</v>
      </c>
      <c r="B562" t="s">
        <v>2017</v>
      </c>
      <c r="C562" t="s">
        <v>1067</v>
      </c>
      <c r="D562" t="s">
        <v>1814</v>
      </c>
      <c r="E562">
        <v>4</v>
      </c>
      <c r="F562">
        <v>500</v>
      </c>
      <c r="G562">
        <v>2000</v>
      </c>
      <c r="H562" s="9">
        <v>0.1</v>
      </c>
      <c r="I562">
        <v>405.6</v>
      </c>
      <c r="J562" s="10">
        <f t="shared" si="16"/>
        <v>5</v>
      </c>
      <c r="K562" s="11">
        <f t="shared" si="17"/>
        <v>0.20280000000000001</v>
      </c>
      <c r="L562" t="str">
        <f>VLOOKUP(C562,Customers!$A$2:$F$1001,2,FALSE())</f>
        <v>James Brown</v>
      </c>
      <c r="M562" t="str">
        <f>VLOOKUP(C562,Customers!$A$2:$F$1001,3,FALSE())</f>
        <v>West</v>
      </c>
      <c r="N562" t="str">
        <f>VLOOKUP(C562,Customers!$A$2:$F$1001,4,FALSE())</f>
        <v>Corporate</v>
      </c>
    </row>
    <row r="563" spans="1:14" x14ac:dyDescent="0.25">
      <c r="A563">
        <v>562</v>
      </c>
      <c r="B563" t="s">
        <v>1883</v>
      </c>
      <c r="C563" t="s">
        <v>1069</v>
      </c>
      <c r="D563" t="s">
        <v>1816</v>
      </c>
      <c r="E563">
        <v>2</v>
      </c>
      <c r="F563">
        <v>25</v>
      </c>
      <c r="G563">
        <v>50</v>
      </c>
      <c r="H563" s="9">
        <v>0.05</v>
      </c>
      <c r="I563">
        <v>3.27</v>
      </c>
      <c r="J563" s="10">
        <f t="shared" si="16"/>
        <v>4</v>
      </c>
      <c r="K563" s="11">
        <f t="shared" si="17"/>
        <v>6.54E-2</v>
      </c>
      <c r="L563" t="str">
        <f>VLOOKUP(C563,Customers!$A$2:$F$1001,2,FALSE())</f>
        <v>Susan Martinez</v>
      </c>
      <c r="M563" t="str">
        <f>VLOOKUP(C563,Customers!$A$2:$F$1001,3,FALSE())</f>
        <v>East</v>
      </c>
      <c r="N563" t="str">
        <f>VLOOKUP(C563,Customers!$A$2:$F$1001,4,FALSE())</f>
        <v>Corporate</v>
      </c>
    </row>
    <row r="564" spans="1:14" x14ac:dyDescent="0.25">
      <c r="A564">
        <v>563</v>
      </c>
      <c r="B564" t="s">
        <v>1997</v>
      </c>
      <c r="C564" t="s">
        <v>1070</v>
      </c>
      <c r="D564" t="s">
        <v>1814</v>
      </c>
      <c r="E564">
        <v>2</v>
      </c>
      <c r="F564">
        <v>30</v>
      </c>
      <c r="G564">
        <v>60</v>
      </c>
      <c r="H564" s="9">
        <v>0.2</v>
      </c>
      <c r="I564">
        <v>1.1399999999999999</v>
      </c>
      <c r="J564" s="10">
        <f t="shared" si="16"/>
        <v>8</v>
      </c>
      <c r="K564" s="11">
        <f t="shared" si="17"/>
        <v>1.9E-2</v>
      </c>
      <c r="L564" t="str">
        <f>VLOOKUP(C564,Customers!$A$2:$F$1001,2,FALSE())</f>
        <v>Kevin King</v>
      </c>
      <c r="M564" t="str">
        <f>VLOOKUP(C564,Customers!$A$2:$F$1001,3,FALSE())</f>
        <v>West</v>
      </c>
      <c r="N564" t="str">
        <f>VLOOKUP(C564,Customers!$A$2:$F$1001,4,FALSE())</f>
        <v>Corporate</v>
      </c>
    </row>
    <row r="565" spans="1:14" x14ac:dyDescent="0.25">
      <c r="A565">
        <v>564</v>
      </c>
      <c r="B565" t="s">
        <v>2022</v>
      </c>
      <c r="C565" t="s">
        <v>1071</v>
      </c>
      <c r="D565" t="s">
        <v>1816</v>
      </c>
      <c r="E565">
        <v>2</v>
      </c>
      <c r="F565">
        <v>50</v>
      </c>
      <c r="G565">
        <v>100</v>
      </c>
      <c r="H565" s="9">
        <v>0</v>
      </c>
      <c r="I565">
        <v>12.75</v>
      </c>
      <c r="J565" s="10">
        <f t="shared" si="16"/>
        <v>10</v>
      </c>
      <c r="K565" s="11">
        <f t="shared" si="17"/>
        <v>0.1275</v>
      </c>
      <c r="L565" t="str">
        <f>VLOOKUP(C565,Customers!$A$2:$F$1001,2,FALSE())</f>
        <v>Kevin Sanchez</v>
      </c>
      <c r="M565" t="str">
        <f>VLOOKUP(C565,Customers!$A$2:$F$1001,3,FALSE())</f>
        <v>West</v>
      </c>
      <c r="N565" t="str">
        <f>VLOOKUP(C565,Customers!$A$2:$F$1001,4,FALSE())</f>
        <v>Corporate</v>
      </c>
    </row>
    <row r="566" spans="1:14" x14ac:dyDescent="0.25">
      <c r="A566">
        <v>565</v>
      </c>
      <c r="B566" t="s">
        <v>1969</v>
      </c>
      <c r="C566" t="s">
        <v>1073</v>
      </c>
      <c r="D566" t="s">
        <v>1812</v>
      </c>
      <c r="E566">
        <v>2</v>
      </c>
      <c r="F566">
        <v>30</v>
      </c>
      <c r="G566">
        <v>60</v>
      </c>
      <c r="H566" s="9">
        <v>0.25</v>
      </c>
      <c r="I566">
        <v>6.21</v>
      </c>
      <c r="J566" s="10">
        <f t="shared" si="16"/>
        <v>11</v>
      </c>
      <c r="K566" s="11">
        <f t="shared" si="17"/>
        <v>0.10349999999999999</v>
      </c>
      <c r="L566" t="str">
        <f>VLOOKUP(C566,Customers!$A$2:$F$1001,2,FALSE())</f>
        <v>Betty Sanchez</v>
      </c>
      <c r="M566" t="str">
        <f>VLOOKUP(C566,Customers!$A$2:$F$1001,3,FALSE())</f>
        <v>West</v>
      </c>
      <c r="N566" t="str">
        <f>VLOOKUP(C566,Customers!$A$2:$F$1001,4,FALSE())</f>
        <v>Corporate</v>
      </c>
    </row>
    <row r="567" spans="1:14" x14ac:dyDescent="0.25">
      <c r="A567">
        <v>566</v>
      </c>
      <c r="B567" t="s">
        <v>1906</v>
      </c>
      <c r="C567" t="s">
        <v>1074</v>
      </c>
      <c r="D567" t="s">
        <v>1814</v>
      </c>
      <c r="E567">
        <v>1</v>
      </c>
      <c r="F567">
        <v>30</v>
      </c>
      <c r="G567">
        <v>30</v>
      </c>
      <c r="H567" s="9">
        <v>0.15</v>
      </c>
      <c r="I567">
        <v>2.9</v>
      </c>
      <c r="J567" s="10">
        <f t="shared" si="16"/>
        <v>12</v>
      </c>
      <c r="K567" s="11">
        <f t="shared" si="17"/>
        <v>9.6666666666666665E-2</v>
      </c>
      <c r="L567" t="str">
        <f>VLOOKUP(C567,Customers!$A$2:$F$1001,2,FALSE())</f>
        <v>Christopher Clark</v>
      </c>
      <c r="M567" t="str">
        <f>VLOOKUP(C567,Customers!$A$2:$F$1001,3,FALSE())</f>
        <v>South</v>
      </c>
      <c r="N567" t="str">
        <f>VLOOKUP(C567,Customers!$A$2:$F$1001,4,FALSE())</f>
        <v>Consumer</v>
      </c>
    </row>
    <row r="568" spans="1:14" x14ac:dyDescent="0.25">
      <c r="A568">
        <v>567</v>
      </c>
      <c r="B568" t="s">
        <v>2099</v>
      </c>
      <c r="C568" t="s">
        <v>1076</v>
      </c>
      <c r="D568" t="s">
        <v>1814</v>
      </c>
      <c r="E568">
        <v>3</v>
      </c>
      <c r="F568">
        <v>300</v>
      </c>
      <c r="G568">
        <v>900</v>
      </c>
      <c r="H568" s="9">
        <v>0.15</v>
      </c>
      <c r="I568">
        <v>44.68</v>
      </c>
      <c r="J568" s="10">
        <f t="shared" si="16"/>
        <v>6</v>
      </c>
      <c r="K568" s="11">
        <f t="shared" si="17"/>
        <v>4.9644444444444442E-2</v>
      </c>
      <c r="L568" t="str">
        <f>VLOOKUP(C568,Customers!$A$2:$F$1001,2,FALSE())</f>
        <v>Michelle Walker</v>
      </c>
      <c r="M568" t="str">
        <f>VLOOKUP(C568,Customers!$A$2:$F$1001,3,FALSE())</f>
        <v>North</v>
      </c>
      <c r="N568" t="str">
        <f>VLOOKUP(C568,Customers!$A$2:$F$1001,4,FALSE())</f>
        <v>Consumer</v>
      </c>
    </row>
    <row r="569" spans="1:14" x14ac:dyDescent="0.25">
      <c r="A569">
        <v>568</v>
      </c>
      <c r="B569" t="s">
        <v>2100</v>
      </c>
      <c r="C569" t="s">
        <v>1078</v>
      </c>
      <c r="D569" t="s">
        <v>1816</v>
      </c>
      <c r="E569">
        <v>1</v>
      </c>
      <c r="F569">
        <v>300</v>
      </c>
      <c r="G569">
        <v>300</v>
      </c>
      <c r="H569" s="9">
        <v>0.05</v>
      </c>
      <c r="I569">
        <v>31.61</v>
      </c>
      <c r="J569" s="10">
        <f t="shared" si="16"/>
        <v>8</v>
      </c>
      <c r="K569" s="11">
        <f t="shared" si="17"/>
        <v>0.10536666666666666</v>
      </c>
      <c r="L569" t="str">
        <f>VLOOKUP(C569,Customers!$A$2:$F$1001,2,FALSE())</f>
        <v>Donald Williams</v>
      </c>
      <c r="M569" t="str">
        <f>VLOOKUP(C569,Customers!$A$2:$F$1001,3,FALSE())</f>
        <v>North</v>
      </c>
      <c r="N569" t="str">
        <f>VLOOKUP(C569,Customers!$A$2:$F$1001,4,FALSE())</f>
        <v>Consumer</v>
      </c>
    </row>
    <row r="570" spans="1:14" x14ac:dyDescent="0.25">
      <c r="A570">
        <v>569</v>
      </c>
      <c r="B570" t="s">
        <v>2010</v>
      </c>
      <c r="C570" t="s">
        <v>1080</v>
      </c>
      <c r="D570" t="s">
        <v>1816</v>
      </c>
      <c r="E570">
        <v>4</v>
      </c>
      <c r="F570">
        <v>50</v>
      </c>
      <c r="G570">
        <v>200</v>
      </c>
      <c r="H570" s="9">
        <v>0.15</v>
      </c>
      <c r="I570">
        <v>-4.45</v>
      </c>
      <c r="J570" s="10">
        <f t="shared" si="16"/>
        <v>8</v>
      </c>
      <c r="K570" s="11">
        <f t="shared" si="17"/>
        <v>-2.2250000000000002E-2</v>
      </c>
      <c r="L570" t="str">
        <f>VLOOKUP(C570,Customers!$A$2:$F$1001,2,FALSE())</f>
        <v>Andrew Anderson</v>
      </c>
      <c r="M570" t="str">
        <f>VLOOKUP(C570,Customers!$A$2:$F$1001,3,FALSE())</f>
        <v>South</v>
      </c>
      <c r="N570" t="str">
        <f>VLOOKUP(C570,Customers!$A$2:$F$1001,4,FALSE())</f>
        <v>Corporate</v>
      </c>
    </row>
    <row r="571" spans="1:14" x14ac:dyDescent="0.25">
      <c r="A571">
        <v>570</v>
      </c>
      <c r="B571" t="s">
        <v>2010</v>
      </c>
      <c r="C571" t="s">
        <v>1082</v>
      </c>
      <c r="D571" t="s">
        <v>1814</v>
      </c>
      <c r="E571">
        <v>1</v>
      </c>
      <c r="F571">
        <v>500</v>
      </c>
      <c r="G571">
        <v>500</v>
      </c>
      <c r="H571" s="9">
        <v>0.05</v>
      </c>
      <c r="I571">
        <v>87.25</v>
      </c>
      <c r="J571" s="10">
        <f t="shared" si="16"/>
        <v>8</v>
      </c>
      <c r="K571" s="11">
        <f t="shared" si="17"/>
        <v>0.17449999999999999</v>
      </c>
      <c r="L571" t="str">
        <f>VLOOKUP(C571,Customers!$A$2:$F$1001,2,FALSE())</f>
        <v>Donna Perez</v>
      </c>
      <c r="M571" t="str">
        <f>VLOOKUP(C571,Customers!$A$2:$F$1001,3,FALSE())</f>
        <v>South</v>
      </c>
      <c r="N571" t="str">
        <f>VLOOKUP(C571,Customers!$A$2:$F$1001,4,FALSE())</f>
        <v>Home Office</v>
      </c>
    </row>
    <row r="572" spans="1:14" x14ac:dyDescent="0.25">
      <c r="A572">
        <v>571</v>
      </c>
      <c r="B572" t="s">
        <v>2030</v>
      </c>
      <c r="C572" t="s">
        <v>1083</v>
      </c>
      <c r="D572" t="s">
        <v>1816</v>
      </c>
      <c r="E572">
        <v>1</v>
      </c>
      <c r="F572">
        <v>50</v>
      </c>
      <c r="G572">
        <v>50</v>
      </c>
      <c r="H572" s="9">
        <v>0.15</v>
      </c>
      <c r="I572">
        <v>-0.36</v>
      </c>
      <c r="J572" s="10">
        <f t="shared" si="16"/>
        <v>12</v>
      </c>
      <c r="K572" s="11">
        <f t="shared" si="17"/>
        <v>-7.1999999999999998E-3</v>
      </c>
      <c r="L572" t="str">
        <f>VLOOKUP(C572,Customers!$A$2:$F$1001,2,FALSE())</f>
        <v>Brian Wilson</v>
      </c>
      <c r="M572" t="str">
        <f>VLOOKUP(C572,Customers!$A$2:$F$1001,3,FALSE())</f>
        <v>South</v>
      </c>
      <c r="N572" t="str">
        <f>VLOOKUP(C572,Customers!$A$2:$F$1001,4,FALSE())</f>
        <v>Consumer</v>
      </c>
    </row>
    <row r="573" spans="1:14" x14ac:dyDescent="0.25">
      <c r="A573">
        <v>572</v>
      </c>
      <c r="B573" t="s">
        <v>1989</v>
      </c>
      <c r="C573" t="s">
        <v>1085</v>
      </c>
      <c r="D573" t="s">
        <v>1814</v>
      </c>
      <c r="E573">
        <v>4</v>
      </c>
      <c r="F573">
        <v>500</v>
      </c>
      <c r="G573">
        <v>2000</v>
      </c>
      <c r="H573" s="9">
        <v>0</v>
      </c>
      <c r="I573">
        <v>523.36</v>
      </c>
      <c r="J573" s="10">
        <f t="shared" si="16"/>
        <v>4</v>
      </c>
      <c r="K573" s="11">
        <f t="shared" si="17"/>
        <v>0.26168000000000002</v>
      </c>
      <c r="L573" t="str">
        <f>VLOOKUP(C573,Customers!$A$2:$F$1001,2,FALSE())</f>
        <v>George King</v>
      </c>
      <c r="M573" t="str">
        <f>VLOOKUP(C573,Customers!$A$2:$F$1001,3,FALSE())</f>
        <v>East</v>
      </c>
      <c r="N573" t="str">
        <f>VLOOKUP(C573,Customers!$A$2:$F$1001,4,FALSE())</f>
        <v>Corporate</v>
      </c>
    </row>
    <row r="574" spans="1:14" x14ac:dyDescent="0.25">
      <c r="A574">
        <v>573</v>
      </c>
      <c r="B574" t="s">
        <v>2084</v>
      </c>
      <c r="C574" t="s">
        <v>1087</v>
      </c>
      <c r="D574" t="s">
        <v>1812</v>
      </c>
      <c r="E574">
        <v>2</v>
      </c>
      <c r="F574">
        <v>30</v>
      </c>
      <c r="G574">
        <v>60</v>
      </c>
      <c r="H574" s="9">
        <v>0.05</v>
      </c>
      <c r="I574">
        <v>17.79</v>
      </c>
      <c r="J574" s="10">
        <f t="shared" si="16"/>
        <v>9</v>
      </c>
      <c r="K574" s="11">
        <f t="shared" si="17"/>
        <v>0.29649999999999999</v>
      </c>
      <c r="L574" t="str">
        <f>VLOOKUP(C574,Customers!$A$2:$F$1001,2,FALSE())</f>
        <v>Thomas Martin</v>
      </c>
      <c r="M574" t="str">
        <f>VLOOKUP(C574,Customers!$A$2:$F$1001,3,FALSE())</f>
        <v>East</v>
      </c>
      <c r="N574" t="str">
        <f>VLOOKUP(C574,Customers!$A$2:$F$1001,4,FALSE())</f>
        <v>Corporate</v>
      </c>
    </row>
    <row r="575" spans="1:14" x14ac:dyDescent="0.25">
      <c r="A575">
        <v>574</v>
      </c>
      <c r="B575" t="s">
        <v>1992</v>
      </c>
      <c r="C575" t="s">
        <v>1089</v>
      </c>
      <c r="D575" t="s">
        <v>1816</v>
      </c>
      <c r="E575">
        <v>2</v>
      </c>
      <c r="F575">
        <v>25</v>
      </c>
      <c r="G575">
        <v>50</v>
      </c>
      <c r="H575" s="9">
        <v>0.05</v>
      </c>
      <c r="I575">
        <v>4.4400000000000004</v>
      </c>
      <c r="J575" s="10">
        <f t="shared" si="16"/>
        <v>8</v>
      </c>
      <c r="K575" s="11">
        <f t="shared" si="17"/>
        <v>8.8800000000000004E-2</v>
      </c>
      <c r="L575" t="str">
        <f>VLOOKUP(C575,Customers!$A$2:$F$1001,2,FALSE())</f>
        <v>Anthony Walker</v>
      </c>
      <c r="M575" t="str">
        <f>VLOOKUP(C575,Customers!$A$2:$F$1001,3,FALSE())</f>
        <v>West</v>
      </c>
      <c r="N575" t="str">
        <f>VLOOKUP(C575,Customers!$A$2:$F$1001,4,FALSE())</f>
        <v>Home Office</v>
      </c>
    </row>
    <row r="576" spans="1:14" x14ac:dyDescent="0.25">
      <c r="A576">
        <v>575</v>
      </c>
      <c r="B576" t="s">
        <v>2101</v>
      </c>
      <c r="C576" t="s">
        <v>1091</v>
      </c>
      <c r="D576" t="s">
        <v>1814</v>
      </c>
      <c r="E576">
        <v>2</v>
      </c>
      <c r="F576">
        <v>50</v>
      </c>
      <c r="G576">
        <v>100</v>
      </c>
      <c r="H576" s="9">
        <v>0.05</v>
      </c>
      <c r="I576">
        <v>20.29</v>
      </c>
      <c r="J576" s="10">
        <f t="shared" si="16"/>
        <v>3</v>
      </c>
      <c r="K576" s="11">
        <f t="shared" si="17"/>
        <v>0.2029</v>
      </c>
      <c r="L576" t="str">
        <f>VLOOKUP(C576,Customers!$A$2:$F$1001,2,FALSE())</f>
        <v>Paul Wright</v>
      </c>
      <c r="M576" t="str">
        <f>VLOOKUP(C576,Customers!$A$2:$F$1001,3,FALSE())</f>
        <v>North</v>
      </c>
      <c r="N576" t="str">
        <f>VLOOKUP(C576,Customers!$A$2:$F$1001,4,FALSE())</f>
        <v>Corporate</v>
      </c>
    </row>
    <row r="577" spans="1:14" x14ac:dyDescent="0.25">
      <c r="A577">
        <v>576</v>
      </c>
      <c r="B577" t="s">
        <v>1965</v>
      </c>
      <c r="C577" t="s">
        <v>1093</v>
      </c>
      <c r="D577" t="s">
        <v>1812</v>
      </c>
      <c r="E577">
        <v>3</v>
      </c>
      <c r="F577">
        <v>50</v>
      </c>
      <c r="G577">
        <v>150</v>
      </c>
      <c r="H577" s="9">
        <v>0.05</v>
      </c>
      <c r="I577">
        <v>44.53</v>
      </c>
      <c r="J577" s="10">
        <f t="shared" si="16"/>
        <v>12</v>
      </c>
      <c r="K577" s="11">
        <f t="shared" si="17"/>
        <v>0.29686666666666667</v>
      </c>
      <c r="L577" t="str">
        <f>VLOOKUP(C577,Customers!$A$2:$F$1001,2,FALSE())</f>
        <v>Charles Lee</v>
      </c>
      <c r="M577" t="str">
        <f>VLOOKUP(C577,Customers!$A$2:$F$1001,3,FALSE())</f>
        <v>North</v>
      </c>
      <c r="N577" t="str">
        <f>VLOOKUP(C577,Customers!$A$2:$F$1001,4,FALSE())</f>
        <v>Corporate</v>
      </c>
    </row>
    <row r="578" spans="1:14" x14ac:dyDescent="0.25">
      <c r="A578">
        <v>577</v>
      </c>
      <c r="B578" t="s">
        <v>1960</v>
      </c>
      <c r="C578" t="s">
        <v>1095</v>
      </c>
      <c r="D578" t="s">
        <v>1812</v>
      </c>
      <c r="E578">
        <v>4</v>
      </c>
      <c r="F578">
        <v>500</v>
      </c>
      <c r="G578">
        <v>2000</v>
      </c>
      <c r="H578" s="9">
        <v>0.15</v>
      </c>
      <c r="I578">
        <v>343.55</v>
      </c>
      <c r="J578" s="10">
        <f t="shared" ref="J578:J641" si="18">MONTH(B578)</f>
        <v>2</v>
      </c>
      <c r="K578" s="11">
        <f t="shared" ref="K578:K641" si="19">IF(G578=0,0,I578/G578)</f>
        <v>0.17177500000000001</v>
      </c>
      <c r="L578" t="str">
        <f>VLOOKUP(C578,Customers!$A$2:$F$1001,2,FALSE())</f>
        <v>Nancy Torres</v>
      </c>
      <c r="M578" t="str">
        <f>VLOOKUP(C578,Customers!$A$2:$F$1001,3,FALSE())</f>
        <v>West</v>
      </c>
      <c r="N578" t="str">
        <f>VLOOKUP(C578,Customers!$A$2:$F$1001,4,FALSE())</f>
        <v>Corporate</v>
      </c>
    </row>
    <row r="579" spans="1:14" x14ac:dyDescent="0.25">
      <c r="A579">
        <v>578</v>
      </c>
      <c r="B579" t="s">
        <v>2046</v>
      </c>
      <c r="C579" t="s">
        <v>1097</v>
      </c>
      <c r="D579" t="s">
        <v>1814</v>
      </c>
      <c r="E579">
        <v>4</v>
      </c>
      <c r="F579">
        <v>30</v>
      </c>
      <c r="G579">
        <v>120</v>
      </c>
      <c r="H579" s="9">
        <v>0</v>
      </c>
      <c r="I579">
        <v>27.69</v>
      </c>
      <c r="J579" s="10">
        <f t="shared" si="18"/>
        <v>5</v>
      </c>
      <c r="K579" s="11">
        <f t="shared" si="19"/>
        <v>0.23075000000000001</v>
      </c>
      <c r="L579" t="str">
        <f>VLOOKUP(C579,Customers!$A$2:$F$1001,2,FALSE())</f>
        <v>Jessica White</v>
      </c>
      <c r="M579" t="str">
        <f>VLOOKUP(C579,Customers!$A$2:$F$1001,3,FALSE())</f>
        <v>West</v>
      </c>
      <c r="N579" t="str">
        <f>VLOOKUP(C579,Customers!$A$2:$F$1001,4,FALSE())</f>
        <v>Home Office</v>
      </c>
    </row>
    <row r="580" spans="1:14" x14ac:dyDescent="0.25">
      <c r="A580">
        <v>579</v>
      </c>
      <c r="B580" t="s">
        <v>1986</v>
      </c>
      <c r="C580" t="s">
        <v>1099</v>
      </c>
      <c r="D580" t="s">
        <v>1816</v>
      </c>
      <c r="E580">
        <v>1</v>
      </c>
      <c r="F580">
        <v>30</v>
      </c>
      <c r="G580">
        <v>30</v>
      </c>
      <c r="H580" s="9">
        <v>0.1</v>
      </c>
      <c r="I580">
        <v>2.42</v>
      </c>
      <c r="J580" s="10">
        <f t="shared" si="18"/>
        <v>9</v>
      </c>
      <c r="K580" s="11">
        <f t="shared" si="19"/>
        <v>8.0666666666666664E-2</v>
      </c>
      <c r="L580" t="str">
        <f>VLOOKUP(C580,Customers!$A$2:$F$1001,2,FALSE())</f>
        <v>Michael Wright</v>
      </c>
      <c r="M580" t="str">
        <f>VLOOKUP(C580,Customers!$A$2:$F$1001,3,FALSE())</f>
        <v>West</v>
      </c>
      <c r="N580" t="str">
        <f>VLOOKUP(C580,Customers!$A$2:$F$1001,4,FALSE())</f>
        <v>Consumer</v>
      </c>
    </row>
    <row r="581" spans="1:14" x14ac:dyDescent="0.25">
      <c r="A581">
        <v>580</v>
      </c>
      <c r="B581" t="s">
        <v>2051</v>
      </c>
      <c r="C581" t="s">
        <v>1101</v>
      </c>
      <c r="D581" t="s">
        <v>1814</v>
      </c>
      <c r="E581">
        <v>3</v>
      </c>
      <c r="F581">
        <v>500</v>
      </c>
      <c r="G581">
        <v>1500</v>
      </c>
      <c r="H581" s="9">
        <v>0</v>
      </c>
      <c r="I581">
        <v>327.73</v>
      </c>
      <c r="J581" s="10">
        <f t="shared" si="18"/>
        <v>12</v>
      </c>
      <c r="K581" s="11">
        <f t="shared" si="19"/>
        <v>0.21848666666666669</v>
      </c>
      <c r="L581" t="str">
        <f>VLOOKUP(C581,Customers!$A$2:$F$1001,2,FALSE())</f>
        <v>Karen Wilson</v>
      </c>
      <c r="M581" t="str">
        <f>VLOOKUP(C581,Customers!$A$2:$F$1001,3,FALSE())</f>
        <v>West</v>
      </c>
      <c r="N581" t="str">
        <f>VLOOKUP(C581,Customers!$A$2:$F$1001,4,FALSE())</f>
        <v>Home Office</v>
      </c>
    </row>
    <row r="582" spans="1:14" x14ac:dyDescent="0.25">
      <c r="A582">
        <v>581</v>
      </c>
      <c r="B582" t="s">
        <v>2059</v>
      </c>
      <c r="C582" t="s">
        <v>1103</v>
      </c>
      <c r="D582" t="s">
        <v>1812</v>
      </c>
      <c r="E582">
        <v>2</v>
      </c>
      <c r="F582">
        <v>30</v>
      </c>
      <c r="G582">
        <v>60</v>
      </c>
      <c r="H582" s="9">
        <v>0.15</v>
      </c>
      <c r="I582">
        <v>10.97</v>
      </c>
      <c r="J582" s="10">
        <f t="shared" si="18"/>
        <v>11</v>
      </c>
      <c r="K582" s="11">
        <f t="shared" si="19"/>
        <v>0.18283333333333335</v>
      </c>
      <c r="L582" t="str">
        <f>VLOOKUP(C582,Customers!$A$2:$F$1001,2,FALSE())</f>
        <v>Sandra Martin</v>
      </c>
      <c r="M582" t="str">
        <f>VLOOKUP(C582,Customers!$A$2:$F$1001,3,FALSE())</f>
        <v>West</v>
      </c>
      <c r="N582" t="str">
        <f>VLOOKUP(C582,Customers!$A$2:$F$1001,4,FALSE())</f>
        <v>Consumer</v>
      </c>
    </row>
    <row r="583" spans="1:14" x14ac:dyDescent="0.25">
      <c r="A583">
        <v>582</v>
      </c>
      <c r="B583" t="s">
        <v>2034</v>
      </c>
      <c r="C583" t="s">
        <v>1105</v>
      </c>
      <c r="D583" t="s">
        <v>1814</v>
      </c>
      <c r="E583">
        <v>3</v>
      </c>
      <c r="F583">
        <v>300</v>
      </c>
      <c r="G583">
        <v>900</v>
      </c>
      <c r="H583" s="9">
        <v>0.15</v>
      </c>
      <c r="I583">
        <v>54.35</v>
      </c>
      <c r="J583" s="10">
        <f t="shared" si="18"/>
        <v>11</v>
      </c>
      <c r="K583" s="11">
        <f t="shared" si="19"/>
        <v>6.0388888888888888E-2</v>
      </c>
      <c r="L583" t="str">
        <f>VLOOKUP(C583,Customers!$A$2:$F$1001,2,FALSE())</f>
        <v>Kevin Perez</v>
      </c>
      <c r="M583" t="str">
        <f>VLOOKUP(C583,Customers!$A$2:$F$1001,3,FALSE())</f>
        <v>South</v>
      </c>
      <c r="N583" t="str">
        <f>VLOOKUP(C583,Customers!$A$2:$F$1001,4,FALSE())</f>
        <v>Home Office</v>
      </c>
    </row>
    <row r="584" spans="1:14" x14ac:dyDescent="0.25">
      <c r="A584">
        <v>583</v>
      </c>
      <c r="B584" t="s">
        <v>2102</v>
      </c>
      <c r="C584" t="s">
        <v>1107</v>
      </c>
      <c r="D584" t="s">
        <v>1816</v>
      </c>
      <c r="E584">
        <v>4</v>
      </c>
      <c r="F584">
        <v>25</v>
      </c>
      <c r="G584">
        <v>100</v>
      </c>
      <c r="H584" s="9">
        <v>0.05</v>
      </c>
      <c r="I584">
        <v>14.28</v>
      </c>
      <c r="J584" s="10">
        <f t="shared" si="18"/>
        <v>6</v>
      </c>
      <c r="K584" s="11">
        <f t="shared" si="19"/>
        <v>0.14279999999999998</v>
      </c>
      <c r="L584" t="str">
        <f>VLOOKUP(C584,Customers!$A$2:$F$1001,2,FALSE())</f>
        <v>Margaret Jones</v>
      </c>
      <c r="M584" t="str">
        <f>VLOOKUP(C584,Customers!$A$2:$F$1001,3,FALSE())</f>
        <v>South</v>
      </c>
      <c r="N584" t="str">
        <f>VLOOKUP(C584,Customers!$A$2:$F$1001,4,FALSE())</f>
        <v>Consumer</v>
      </c>
    </row>
    <row r="585" spans="1:14" x14ac:dyDescent="0.25">
      <c r="A585">
        <v>584</v>
      </c>
      <c r="B585" t="s">
        <v>1829</v>
      </c>
      <c r="C585" t="s">
        <v>1109</v>
      </c>
      <c r="D585" t="s">
        <v>1812</v>
      </c>
      <c r="E585">
        <v>4</v>
      </c>
      <c r="F585">
        <v>50</v>
      </c>
      <c r="G585">
        <v>200</v>
      </c>
      <c r="H585" s="9">
        <v>0.1</v>
      </c>
      <c r="I585">
        <v>40.58</v>
      </c>
      <c r="J585" s="10">
        <f t="shared" si="18"/>
        <v>2</v>
      </c>
      <c r="K585" s="11">
        <f t="shared" si="19"/>
        <v>0.2029</v>
      </c>
      <c r="L585" t="str">
        <f>VLOOKUP(C585,Customers!$A$2:$F$1001,2,FALSE())</f>
        <v>Mary Thomas</v>
      </c>
      <c r="M585" t="str">
        <f>VLOOKUP(C585,Customers!$A$2:$F$1001,3,FALSE())</f>
        <v>North</v>
      </c>
      <c r="N585" t="str">
        <f>VLOOKUP(C585,Customers!$A$2:$F$1001,4,FALSE())</f>
        <v>Consumer</v>
      </c>
    </row>
    <row r="586" spans="1:14" x14ac:dyDescent="0.25">
      <c r="A586">
        <v>585</v>
      </c>
      <c r="B586" t="s">
        <v>2031</v>
      </c>
      <c r="C586" t="s">
        <v>1111</v>
      </c>
      <c r="D586" t="s">
        <v>1814</v>
      </c>
      <c r="E586">
        <v>1</v>
      </c>
      <c r="F586">
        <v>25</v>
      </c>
      <c r="G586">
        <v>25</v>
      </c>
      <c r="H586" s="9">
        <v>0.2</v>
      </c>
      <c r="I586">
        <v>-0.3</v>
      </c>
      <c r="J586" s="10">
        <f t="shared" si="18"/>
        <v>5</v>
      </c>
      <c r="K586" s="11">
        <f t="shared" si="19"/>
        <v>-1.2E-2</v>
      </c>
      <c r="L586" t="str">
        <f>VLOOKUP(C586,Customers!$A$2:$F$1001,2,FALSE())</f>
        <v>Deborah Torres</v>
      </c>
      <c r="M586" t="str">
        <f>VLOOKUP(C586,Customers!$A$2:$F$1001,3,FALSE())</f>
        <v>East</v>
      </c>
      <c r="N586" t="str">
        <f>VLOOKUP(C586,Customers!$A$2:$F$1001,4,FALSE())</f>
        <v>Consumer</v>
      </c>
    </row>
    <row r="587" spans="1:14" x14ac:dyDescent="0.25">
      <c r="A587">
        <v>586</v>
      </c>
      <c r="B587" t="s">
        <v>2000</v>
      </c>
      <c r="C587" t="s">
        <v>1113</v>
      </c>
      <c r="D587" t="s">
        <v>1816</v>
      </c>
      <c r="E587">
        <v>1</v>
      </c>
      <c r="F587">
        <v>50</v>
      </c>
      <c r="G587">
        <v>50</v>
      </c>
      <c r="H587" s="9">
        <v>0.15</v>
      </c>
      <c r="I587">
        <v>-2.5</v>
      </c>
      <c r="J587" s="10">
        <f t="shared" si="18"/>
        <v>12</v>
      </c>
      <c r="K587" s="11">
        <f t="shared" si="19"/>
        <v>-0.05</v>
      </c>
      <c r="L587" t="str">
        <f>VLOOKUP(C587,Customers!$A$2:$F$1001,2,FALSE())</f>
        <v>Ashley Sanchez</v>
      </c>
      <c r="M587" t="str">
        <f>VLOOKUP(C587,Customers!$A$2:$F$1001,3,FALSE())</f>
        <v>West</v>
      </c>
      <c r="N587" t="str">
        <f>VLOOKUP(C587,Customers!$A$2:$F$1001,4,FALSE())</f>
        <v>Consumer</v>
      </c>
    </row>
    <row r="588" spans="1:14" x14ac:dyDescent="0.25">
      <c r="A588">
        <v>587</v>
      </c>
      <c r="B588" t="s">
        <v>2090</v>
      </c>
      <c r="C588" t="s">
        <v>1114</v>
      </c>
      <c r="D588" t="s">
        <v>1812</v>
      </c>
      <c r="E588">
        <v>4</v>
      </c>
      <c r="F588">
        <v>300</v>
      </c>
      <c r="G588">
        <v>1200</v>
      </c>
      <c r="H588" s="9">
        <v>0.05</v>
      </c>
      <c r="I588">
        <v>359.64</v>
      </c>
      <c r="J588" s="10">
        <f t="shared" si="18"/>
        <v>6</v>
      </c>
      <c r="K588" s="11">
        <f t="shared" si="19"/>
        <v>0.29969999999999997</v>
      </c>
      <c r="L588" t="str">
        <f>VLOOKUP(C588,Customers!$A$2:$F$1001,2,FALSE())</f>
        <v>Karen Davis</v>
      </c>
      <c r="M588" t="str">
        <f>VLOOKUP(C588,Customers!$A$2:$F$1001,3,FALSE())</f>
        <v>South</v>
      </c>
      <c r="N588" t="str">
        <f>VLOOKUP(C588,Customers!$A$2:$F$1001,4,FALSE())</f>
        <v>Consumer</v>
      </c>
    </row>
    <row r="589" spans="1:14" x14ac:dyDescent="0.25">
      <c r="A589">
        <v>588</v>
      </c>
      <c r="B589" t="s">
        <v>1978</v>
      </c>
      <c r="C589" t="s">
        <v>1116</v>
      </c>
      <c r="D589" t="s">
        <v>1816</v>
      </c>
      <c r="E589">
        <v>2</v>
      </c>
      <c r="F589">
        <v>30</v>
      </c>
      <c r="G589">
        <v>60</v>
      </c>
      <c r="H589" s="9">
        <v>0.05</v>
      </c>
      <c r="I589">
        <v>2.93</v>
      </c>
      <c r="J589" s="10">
        <f t="shared" si="18"/>
        <v>4</v>
      </c>
      <c r="K589" s="11">
        <f t="shared" si="19"/>
        <v>4.8833333333333333E-2</v>
      </c>
      <c r="L589" t="str">
        <f>VLOOKUP(C589,Customers!$A$2:$F$1001,2,FALSE())</f>
        <v>James Wilson</v>
      </c>
      <c r="M589" t="str">
        <f>VLOOKUP(C589,Customers!$A$2:$F$1001,3,FALSE())</f>
        <v>East</v>
      </c>
      <c r="N589" t="str">
        <f>VLOOKUP(C589,Customers!$A$2:$F$1001,4,FALSE())</f>
        <v>Consumer</v>
      </c>
    </row>
    <row r="590" spans="1:14" x14ac:dyDescent="0.25">
      <c r="A590">
        <v>589</v>
      </c>
      <c r="B590" t="s">
        <v>1836</v>
      </c>
      <c r="C590" t="s">
        <v>1118</v>
      </c>
      <c r="D590" t="s">
        <v>1812</v>
      </c>
      <c r="E590">
        <v>2</v>
      </c>
      <c r="F590">
        <v>500</v>
      </c>
      <c r="G590">
        <v>1000</v>
      </c>
      <c r="H590" s="9">
        <v>0.15</v>
      </c>
      <c r="I590">
        <v>155.63999999999999</v>
      </c>
      <c r="J590" s="10">
        <f t="shared" si="18"/>
        <v>4</v>
      </c>
      <c r="K590" s="11">
        <f t="shared" si="19"/>
        <v>0.15563999999999997</v>
      </c>
      <c r="L590" t="str">
        <f>VLOOKUP(C590,Customers!$A$2:$F$1001,2,FALSE())</f>
        <v>Jessica Davis</v>
      </c>
      <c r="M590" t="str">
        <f>VLOOKUP(C590,Customers!$A$2:$F$1001,3,FALSE())</f>
        <v>South</v>
      </c>
      <c r="N590" t="str">
        <f>VLOOKUP(C590,Customers!$A$2:$F$1001,4,FALSE())</f>
        <v>Consumer</v>
      </c>
    </row>
    <row r="591" spans="1:14" x14ac:dyDescent="0.25">
      <c r="A591">
        <v>590</v>
      </c>
      <c r="B591" t="s">
        <v>2069</v>
      </c>
      <c r="C591" t="s">
        <v>1119</v>
      </c>
      <c r="D591" t="s">
        <v>1814</v>
      </c>
      <c r="E591">
        <v>3</v>
      </c>
      <c r="F591">
        <v>300</v>
      </c>
      <c r="G591">
        <v>900</v>
      </c>
      <c r="H591" s="9">
        <v>0</v>
      </c>
      <c r="I591">
        <v>166.89</v>
      </c>
      <c r="J591" s="10">
        <f t="shared" si="18"/>
        <v>3</v>
      </c>
      <c r="K591" s="11">
        <f t="shared" si="19"/>
        <v>0.18543333333333331</v>
      </c>
      <c r="L591" t="str">
        <f>VLOOKUP(C591,Customers!$A$2:$F$1001,2,FALSE())</f>
        <v>Richard Smith</v>
      </c>
      <c r="M591" t="str">
        <f>VLOOKUP(C591,Customers!$A$2:$F$1001,3,FALSE())</f>
        <v>North</v>
      </c>
      <c r="N591" t="str">
        <f>VLOOKUP(C591,Customers!$A$2:$F$1001,4,FALSE())</f>
        <v>Consumer</v>
      </c>
    </row>
    <row r="592" spans="1:14" x14ac:dyDescent="0.25">
      <c r="A592">
        <v>591</v>
      </c>
      <c r="B592" t="s">
        <v>1815</v>
      </c>
      <c r="C592" t="s">
        <v>1121</v>
      </c>
      <c r="D592" t="s">
        <v>1816</v>
      </c>
      <c r="E592">
        <v>4</v>
      </c>
      <c r="F592">
        <v>25</v>
      </c>
      <c r="G592">
        <v>100</v>
      </c>
      <c r="H592" s="9">
        <v>0.15</v>
      </c>
      <c r="I592">
        <v>-2.2799999999999998</v>
      </c>
      <c r="J592" s="10">
        <f t="shared" si="18"/>
        <v>1</v>
      </c>
      <c r="K592" s="11">
        <f t="shared" si="19"/>
        <v>-2.2799999999999997E-2</v>
      </c>
      <c r="L592" t="str">
        <f>VLOOKUP(C592,Customers!$A$2:$F$1001,2,FALSE())</f>
        <v>Donald Nguyen</v>
      </c>
      <c r="M592" t="str">
        <f>VLOOKUP(C592,Customers!$A$2:$F$1001,3,FALSE())</f>
        <v>North</v>
      </c>
      <c r="N592" t="str">
        <f>VLOOKUP(C592,Customers!$A$2:$F$1001,4,FALSE())</f>
        <v>Corporate</v>
      </c>
    </row>
    <row r="593" spans="1:14" x14ac:dyDescent="0.25">
      <c r="A593">
        <v>592</v>
      </c>
      <c r="B593" t="s">
        <v>1872</v>
      </c>
      <c r="C593" t="s">
        <v>1123</v>
      </c>
      <c r="D593" t="s">
        <v>1812</v>
      </c>
      <c r="E593">
        <v>4</v>
      </c>
      <c r="F593">
        <v>500</v>
      </c>
      <c r="G593">
        <v>2000</v>
      </c>
      <c r="H593" s="9">
        <v>0.05</v>
      </c>
      <c r="I593">
        <v>549.99</v>
      </c>
      <c r="J593" s="10">
        <f t="shared" si="18"/>
        <v>1</v>
      </c>
      <c r="K593" s="11">
        <f t="shared" si="19"/>
        <v>0.27499499999999999</v>
      </c>
      <c r="L593" t="str">
        <f>VLOOKUP(C593,Customers!$A$2:$F$1001,2,FALSE())</f>
        <v>Paul Moore</v>
      </c>
      <c r="M593" t="str">
        <f>VLOOKUP(C593,Customers!$A$2:$F$1001,3,FALSE())</f>
        <v>North</v>
      </c>
      <c r="N593" t="str">
        <f>VLOOKUP(C593,Customers!$A$2:$F$1001,4,FALSE())</f>
        <v>Home Office</v>
      </c>
    </row>
    <row r="594" spans="1:14" x14ac:dyDescent="0.25">
      <c r="A594">
        <v>593</v>
      </c>
      <c r="B594" t="s">
        <v>1818</v>
      </c>
      <c r="C594" t="s">
        <v>1125</v>
      </c>
      <c r="D594" t="s">
        <v>1816</v>
      </c>
      <c r="E594">
        <v>2</v>
      </c>
      <c r="F594">
        <v>30</v>
      </c>
      <c r="G594">
        <v>60</v>
      </c>
      <c r="H594" s="9">
        <v>0.15</v>
      </c>
      <c r="I594">
        <v>-3</v>
      </c>
      <c r="J594" s="10">
        <f t="shared" si="18"/>
        <v>5</v>
      </c>
      <c r="K594" s="11">
        <f t="shared" si="19"/>
        <v>-0.05</v>
      </c>
      <c r="L594" t="str">
        <f>VLOOKUP(C594,Customers!$A$2:$F$1001,2,FALSE())</f>
        <v>Nancy Gonzalez</v>
      </c>
      <c r="M594" t="str">
        <f>VLOOKUP(C594,Customers!$A$2:$F$1001,3,FALSE())</f>
        <v>West</v>
      </c>
      <c r="N594" t="str">
        <f>VLOOKUP(C594,Customers!$A$2:$F$1001,4,FALSE())</f>
        <v>Corporate</v>
      </c>
    </row>
    <row r="595" spans="1:14" x14ac:dyDescent="0.25">
      <c r="A595">
        <v>594</v>
      </c>
      <c r="B595" t="s">
        <v>1966</v>
      </c>
      <c r="C595" t="s">
        <v>1126</v>
      </c>
      <c r="D595" t="s">
        <v>1816</v>
      </c>
      <c r="E595">
        <v>2</v>
      </c>
      <c r="F595">
        <v>300</v>
      </c>
      <c r="G595">
        <v>600</v>
      </c>
      <c r="H595" s="9">
        <v>0</v>
      </c>
      <c r="I595">
        <v>109.54</v>
      </c>
      <c r="J595" s="10">
        <f t="shared" si="18"/>
        <v>9</v>
      </c>
      <c r="K595" s="11">
        <f t="shared" si="19"/>
        <v>0.18256666666666668</v>
      </c>
      <c r="L595" t="str">
        <f>VLOOKUP(C595,Customers!$A$2:$F$1001,2,FALSE())</f>
        <v>Linda White</v>
      </c>
      <c r="M595" t="str">
        <f>VLOOKUP(C595,Customers!$A$2:$F$1001,3,FALSE())</f>
        <v>South</v>
      </c>
      <c r="N595" t="str">
        <f>VLOOKUP(C595,Customers!$A$2:$F$1001,4,FALSE())</f>
        <v>Consumer</v>
      </c>
    </row>
    <row r="596" spans="1:14" x14ac:dyDescent="0.25">
      <c r="A596">
        <v>595</v>
      </c>
      <c r="B596" t="s">
        <v>2103</v>
      </c>
      <c r="C596" t="s">
        <v>1127</v>
      </c>
      <c r="D596" t="s">
        <v>1814</v>
      </c>
      <c r="E596">
        <v>4</v>
      </c>
      <c r="F596">
        <v>500</v>
      </c>
      <c r="G596">
        <v>2000</v>
      </c>
      <c r="H596" s="9">
        <v>0</v>
      </c>
      <c r="I596">
        <v>421.54</v>
      </c>
      <c r="J596" s="10">
        <f t="shared" si="18"/>
        <v>11</v>
      </c>
      <c r="K596" s="11">
        <f t="shared" si="19"/>
        <v>0.21077000000000001</v>
      </c>
      <c r="L596" t="str">
        <f>VLOOKUP(C596,Customers!$A$2:$F$1001,2,FALSE())</f>
        <v>Mark Smith</v>
      </c>
      <c r="M596" t="str">
        <f>VLOOKUP(C596,Customers!$A$2:$F$1001,3,FALSE())</f>
        <v>West</v>
      </c>
      <c r="N596" t="str">
        <f>VLOOKUP(C596,Customers!$A$2:$F$1001,4,FALSE())</f>
        <v>Consumer</v>
      </c>
    </row>
    <row r="597" spans="1:14" x14ac:dyDescent="0.25">
      <c r="A597">
        <v>596</v>
      </c>
      <c r="B597" t="s">
        <v>2041</v>
      </c>
      <c r="C597" t="s">
        <v>1129</v>
      </c>
      <c r="D597" t="s">
        <v>1816</v>
      </c>
      <c r="E597">
        <v>1</v>
      </c>
      <c r="F597">
        <v>300</v>
      </c>
      <c r="G597">
        <v>300</v>
      </c>
      <c r="H597" s="9">
        <v>0.25</v>
      </c>
      <c r="I597">
        <v>-15</v>
      </c>
      <c r="J597" s="10">
        <f t="shared" si="18"/>
        <v>2</v>
      </c>
      <c r="K597" s="11">
        <f t="shared" si="19"/>
        <v>-0.05</v>
      </c>
      <c r="L597" t="str">
        <f>VLOOKUP(C597,Customers!$A$2:$F$1001,2,FALSE())</f>
        <v>Christopher Lopez</v>
      </c>
      <c r="M597" t="str">
        <f>VLOOKUP(C597,Customers!$A$2:$F$1001,3,FALSE())</f>
        <v>East</v>
      </c>
      <c r="N597" t="str">
        <f>VLOOKUP(C597,Customers!$A$2:$F$1001,4,FALSE())</f>
        <v>Home Office</v>
      </c>
    </row>
    <row r="598" spans="1:14" x14ac:dyDescent="0.25">
      <c r="A598">
        <v>597</v>
      </c>
      <c r="B598" t="s">
        <v>2104</v>
      </c>
      <c r="C598" t="s">
        <v>1131</v>
      </c>
      <c r="D598" t="s">
        <v>1812</v>
      </c>
      <c r="E598">
        <v>4</v>
      </c>
      <c r="F598">
        <v>300</v>
      </c>
      <c r="G598">
        <v>1200</v>
      </c>
      <c r="H598" s="9">
        <v>0.15</v>
      </c>
      <c r="I598">
        <v>178.76</v>
      </c>
      <c r="J598" s="10">
        <f t="shared" si="18"/>
        <v>8</v>
      </c>
      <c r="K598" s="11">
        <f t="shared" si="19"/>
        <v>0.14896666666666666</v>
      </c>
      <c r="L598" t="str">
        <f>VLOOKUP(C598,Customers!$A$2:$F$1001,2,FALSE())</f>
        <v>David Lewis</v>
      </c>
      <c r="M598" t="str">
        <f>VLOOKUP(C598,Customers!$A$2:$F$1001,3,FALSE())</f>
        <v>North</v>
      </c>
      <c r="N598" t="str">
        <f>VLOOKUP(C598,Customers!$A$2:$F$1001,4,FALSE())</f>
        <v>Consumer</v>
      </c>
    </row>
    <row r="599" spans="1:14" x14ac:dyDescent="0.25">
      <c r="A599">
        <v>598</v>
      </c>
      <c r="B599" t="s">
        <v>2105</v>
      </c>
      <c r="C599" t="s">
        <v>1133</v>
      </c>
      <c r="D599" t="s">
        <v>1812</v>
      </c>
      <c r="E599">
        <v>4</v>
      </c>
      <c r="F599">
        <v>30</v>
      </c>
      <c r="G599">
        <v>120</v>
      </c>
      <c r="H599" s="9">
        <v>0.2</v>
      </c>
      <c r="I599">
        <v>18.97</v>
      </c>
      <c r="J599" s="10">
        <f t="shared" si="18"/>
        <v>8</v>
      </c>
      <c r="K599" s="11">
        <f t="shared" si="19"/>
        <v>0.15808333333333333</v>
      </c>
      <c r="L599" t="str">
        <f>VLOOKUP(C599,Customers!$A$2:$F$1001,2,FALSE())</f>
        <v>Anthony Sanchez</v>
      </c>
      <c r="M599" t="str">
        <f>VLOOKUP(C599,Customers!$A$2:$F$1001,3,FALSE())</f>
        <v>North</v>
      </c>
      <c r="N599" t="str">
        <f>VLOOKUP(C599,Customers!$A$2:$F$1001,4,FALSE())</f>
        <v>Consumer</v>
      </c>
    </row>
    <row r="600" spans="1:14" x14ac:dyDescent="0.25">
      <c r="A600">
        <v>599</v>
      </c>
      <c r="B600" t="s">
        <v>2106</v>
      </c>
      <c r="C600" t="s">
        <v>1134</v>
      </c>
      <c r="D600" t="s">
        <v>1812</v>
      </c>
      <c r="E600">
        <v>2</v>
      </c>
      <c r="F600">
        <v>50</v>
      </c>
      <c r="G600">
        <v>100</v>
      </c>
      <c r="H600" s="9">
        <v>0.2</v>
      </c>
      <c r="I600">
        <v>13.25</v>
      </c>
      <c r="J600" s="10">
        <f t="shared" si="18"/>
        <v>11</v>
      </c>
      <c r="K600" s="11">
        <f t="shared" si="19"/>
        <v>0.13250000000000001</v>
      </c>
      <c r="L600" t="str">
        <f>VLOOKUP(C600,Customers!$A$2:$F$1001,2,FALSE())</f>
        <v>Emily Flores</v>
      </c>
      <c r="M600" t="str">
        <f>VLOOKUP(C600,Customers!$A$2:$F$1001,3,FALSE())</f>
        <v>West</v>
      </c>
      <c r="N600" t="str">
        <f>VLOOKUP(C600,Customers!$A$2:$F$1001,4,FALSE())</f>
        <v>Home Office</v>
      </c>
    </row>
    <row r="601" spans="1:14" x14ac:dyDescent="0.25">
      <c r="A601">
        <v>600</v>
      </c>
      <c r="B601" t="s">
        <v>2107</v>
      </c>
      <c r="C601" t="s">
        <v>1136</v>
      </c>
      <c r="D601" t="s">
        <v>1812</v>
      </c>
      <c r="E601">
        <v>2</v>
      </c>
      <c r="F601">
        <v>500</v>
      </c>
      <c r="G601">
        <v>1000</v>
      </c>
      <c r="H601" s="9">
        <v>0.05</v>
      </c>
      <c r="I601">
        <v>259.76</v>
      </c>
      <c r="J601" s="10">
        <f t="shared" si="18"/>
        <v>10</v>
      </c>
      <c r="K601" s="11">
        <f t="shared" si="19"/>
        <v>0.25975999999999999</v>
      </c>
      <c r="L601" t="str">
        <f>VLOOKUP(C601,Customers!$A$2:$F$1001,2,FALSE())</f>
        <v>Kenneth Harris</v>
      </c>
      <c r="M601" t="str">
        <f>VLOOKUP(C601,Customers!$A$2:$F$1001,3,FALSE())</f>
        <v>North</v>
      </c>
      <c r="N601" t="str">
        <f>VLOOKUP(C601,Customers!$A$2:$F$1001,4,FALSE())</f>
        <v>Home Office</v>
      </c>
    </row>
    <row r="602" spans="1:14" x14ac:dyDescent="0.25">
      <c r="A602">
        <v>601</v>
      </c>
      <c r="B602" t="s">
        <v>2108</v>
      </c>
      <c r="C602" t="s">
        <v>1137</v>
      </c>
      <c r="D602" t="s">
        <v>1814</v>
      </c>
      <c r="E602">
        <v>1</v>
      </c>
      <c r="F602">
        <v>30</v>
      </c>
      <c r="G602">
        <v>30</v>
      </c>
      <c r="H602" s="9">
        <v>0</v>
      </c>
      <c r="I602">
        <v>6.67</v>
      </c>
      <c r="J602" s="10">
        <f t="shared" si="18"/>
        <v>4</v>
      </c>
      <c r="K602" s="11">
        <f t="shared" si="19"/>
        <v>0.22233333333333333</v>
      </c>
      <c r="L602" t="str">
        <f>VLOOKUP(C602,Customers!$A$2:$F$1001,2,FALSE())</f>
        <v>Carol Martin</v>
      </c>
      <c r="M602" t="str">
        <f>VLOOKUP(C602,Customers!$A$2:$F$1001,3,FALSE())</f>
        <v>West</v>
      </c>
      <c r="N602" t="str">
        <f>VLOOKUP(C602,Customers!$A$2:$F$1001,4,FALSE())</f>
        <v>Consumer</v>
      </c>
    </row>
    <row r="603" spans="1:14" x14ac:dyDescent="0.25">
      <c r="A603">
        <v>602</v>
      </c>
      <c r="B603" t="s">
        <v>2018</v>
      </c>
      <c r="C603" t="s">
        <v>1139</v>
      </c>
      <c r="D603" t="s">
        <v>1816</v>
      </c>
      <c r="E603">
        <v>1</v>
      </c>
      <c r="F603">
        <v>300</v>
      </c>
      <c r="G603">
        <v>300</v>
      </c>
      <c r="H603" s="9">
        <v>0</v>
      </c>
      <c r="I603">
        <v>50.45</v>
      </c>
      <c r="J603" s="10">
        <f t="shared" si="18"/>
        <v>12</v>
      </c>
      <c r="K603" s="11">
        <f t="shared" si="19"/>
        <v>0.16816666666666669</v>
      </c>
      <c r="L603" t="str">
        <f>VLOOKUP(C603,Customers!$A$2:$F$1001,2,FALSE())</f>
        <v>Deborah Walker</v>
      </c>
      <c r="M603" t="str">
        <f>VLOOKUP(C603,Customers!$A$2:$F$1001,3,FALSE())</f>
        <v>North</v>
      </c>
      <c r="N603" t="str">
        <f>VLOOKUP(C603,Customers!$A$2:$F$1001,4,FALSE())</f>
        <v>Corporate</v>
      </c>
    </row>
    <row r="604" spans="1:14" x14ac:dyDescent="0.25">
      <c r="A604">
        <v>603</v>
      </c>
      <c r="B604" t="s">
        <v>2109</v>
      </c>
      <c r="C604" t="s">
        <v>1141</v>
      </c>
      <c r="D604" t="s">
        <v>1814</v>
      </c>
      <c r="E604">
        <v>3</v>
      </c>
      <c r="F604">
        <v>30</v>
      </c>
      <c r="G604">
        <v>90</v>
      </c>
      <c r="H604" s="9">
        <v>0.05</v>
      </c>
      <c r="I604">
        <v>16.39</v>
      </c>
      <c r="J604" s="10">
        <f t="shared" si="18"/>
        <v>7</v>
      </c>
      <c r="K604" s="11">
        <f t="shared" si="19"/>
        <v>0.18211111111111111</v>
      </c>
      <c r="L604" t="str">
        <f>VLOOKUP(C604,Customers!$A$2:$F$1001,2,FALSE())</f>
        <v>Steven Torres</v>
      </c>
      <c r="M604" t="str">
        <f>VLOOKUP(C604,Customers!$A$2:$F$1001,3,FALSE())</f>
        <v>East</v>
      </c>
      <c r="N604" t="str">
        <f>VLOOKUP(C604,Customers!$A$2:$F$1001,4,FALSE())</f>
        <v>Consumer</v>
      </c>
    </row>
    <row r="605" spans="1:14" x14ac:dyDescent="0.25">
      <c r="A605">
        <v>604</v>
      </c>
      <c r="B605" t="s">
        <v>2110</v>
      </c>
      <c r="C605" t="s">
        <v>1143</v>
      </c>
      <c r="D605" t="s">
        <v>1816</v>
      </c>
      <c r="E605">
        <v>4</v>
      </c>
      <c r="F605">
        <v>50</v>
      </c>
      <c r="G605">
        <v>200</v>
      </c>
      <c r="H605" s="9">
        <v>0</v>
      </c>
      <c r="I605">
        <v>28.98</v>
      </c>
      <c r="J605" s="10">
        <f t="shared" si="18"/>
        <v>9</v>
      </c>
      <c r="K605" s="11">
        <f t="shared" si="19"/>
        <v>0.1449</v>
      </c>
      <c r="L605" t="str">
        <f>VLOOKUP(C605,Customers!$A$2:$F$1001,2,FALSE())</f>
        <v>Margaret Lewis</v>
      </c>
      <c r="M605" t="str">
        <f>VLOOKUP(C605,Customers!$A$2:$F$1001,3,FALSE())</f>
        <v>West</v>
      </c>
      <c r="N605" t="str">
        <f>VLOOKUP(C605,Customers!$A$2:$F$1001,4,FALSE())</f>
        <v>Corporate</v>
      </c>
    </row>
    <row r="606" spans="1:14" x14ac:dyDescent="0.25">
      <c r="A606">
        <v>605</v>
      </c>
      <c r="B606" t="s">
        <v>1918</v>
      </c>
      <c r="C606" t="s">
        <v>1145</v>
      </c>
      <c r="D606" t="s">
        <v>1816</v>
      </c>
      <c r="E606">
        <v>2</v>
      </c>
      <c r="F606">
        <v>500</v>
      </c>
      <c r="G606">
        <v>1000</v>
      </c>
      <c r="H606" s="9">
        <v>0.2</v>
      </c>
      <c r="I606">
        <v>-50</v>
      </c>
      <c r="J606" s="10">
        <f t="shared" si="18"/>
        <v>7</v>
      </c>
      <c r="K606" s="11">
        <f t="shared" si="19"/>
        <v>-0.05</v>
      </c>
      <c r="L606" t="str">
        <f>VLOOKUP(C606,Customers!$A$2:$F$1001,2,FALSE())</f>
        <v>Joseph Hill</v>
      </c>
      <c r="M606" t="str">
        <f>VLOOKUP(C606,Customers!$A$2:$F$1001,3,FALSE())</f>
        <v>North</v>
      </c>
      <c r="N606" t="str">
        <f>VLOOKUP(C606,Customers!$A$2:$F$1001,4,FALSE())</f>
        <v>Consumer</v>
      </c>
    </row>
    <row r="607" spans="1:14" x14ac:dyDescent="0.25">
      <c r="A607">
        <v>606</v>
      </c>
      <c r="B607" t="s">
        <v>1993</v>
      </c>
      <c r="C607" t="s">
        <v>1147</v>
      </c>
      <c r="D607" t="s">
        <v>1816</v>
      </c>
      <c r="E607">
        <v>1</v>
      </c>
      <c r="F607">
        <v>50</v>
      </c>
      <c r="G607">
        <v>50</v>
      </c>
      <c r="H607" s="9">
        <v>0</v>
      </c>
      <c r="I607">
        <v>6.38</v>
      </c>
      <c r="J607" s="10">
        <f t="shared" si="18"/>
        <v>5</v>
      </c>
      <c r="K607" s="11">
        <f t="shared" si="19"/>
        <v>0.12759999999999999</v>
      </c>
      <c r="L607" t="str">
        <f>VLOOKUP(C607,Customers!$A$2:$F$1001,2,FALSE())</f>
        <v>Ashley Young</v>
      </c>
      <c r="M607" t="str">
        <f>VLOOKUP(C607,Customers!$A$2:$F$1001,3,FALSE())</f>
        <v>North</v>
      </c>
      <c r="N607" t="str">
        <f>VLOOKUP(C607,Customers!$A$2:$F$1001,4,FALSE())</f>
        <v>Consumer</v>
      </c>
    </row>
    <row r="608" spans="1:14" x14ac:dyDescent="0.25">
      <c r="A608">
        <v>607</v>
      </c>
      <c r="B608" t="s">
        <v>2069</v>
      </c>
      <c r="C608" t="s">
        <v>1148</v>
      </c>
      <c r="D608" t="s">
        <v>1814</v>
      </c>
      <c r="E608">
        <v>3</v>
      </c>
      <c r="F608">
        <v>25</v>
      </c>
      <c r="G608">
        <v>75</v>
      </c>
      <c r="H608" s="9">
        <v>0</v>
      </c>
      <c r="I608">
        <v>18.96</v>
      </c>
      <c r="J608" s="10">
        <f t="shared" si="18"/>
        <v>3</v>
      </c>
      <c r="K608" s="11">
        <f t="shared" si="19"/>
        <v>0.25280000000000002</v>
      </c>
      <c r="L608" t="str">
        <f>VLOOKUP(C608,Customers!$A$2:$F$1001,2,FALSE())</f>
        <v>Lisa Wright</v>
      </c>
      <c r="M608" t="str">
        <f>VLOOKUP(C608,Customers!$A$2:$F$1001,3,FALSE())</f>
        <v>West</v>
      </c>
      <c r="N608" t="str">
        <f>VLOOKUP(C608,Customers!$A$2:$F$1001,4,FALSE())</f>
        <v>Corporate</v>
      </c>
    </row>
    <row r="609" spans="1:14" x14ac:dyDescent="0.25">
      <c r="A609">
        <v>608</v>
      </c>
      <c r="B609" t="s">
        <v>1906</v>
      </c>
      <c r="C609" t="s">
        <v>1149</v>
      </c>
      <c r="D609" t="s">
        <v>1816</v>
      </c>
      <c r="E609">
        <v>3</v>
      </c>
      <c r="F609">
        <v>500</v>
      </c>
      <c r="G609">
        <v>1500</v>
      </c>
      <c r="H609" s="9">
        <v>0</v>
      </c>
      <c r="I609">
        <v>267.95999999999998</v>
      </c>
      <c r="J609" s="10">
        <f t="shared" si="18"/>
        <v>12</v>
      </c>
      <c r="K609" s="11">
        <f t="shared" si="19"/>
        <v>0.17863999999999999</v>
      </c>
      <c r="L609" t="str">
        <f>VLOOKUP(C609,Customers!$A$2:$F$1001,2,FALSE())</f>
        <v>Patricia Jones</v>
      </c>
      <c r="M609" t="str">
        <f>VLOOKUP(C609,Customers!$A$2:$F$1001,3,FALSE())</f>
        <v>North</v>
      </c>
      <c r="N609" t="str">
        <f>VLOOKUP(C609,Customers!$A$2:$F$1001,4,FALSE())</f>
        <v>Consumer</v>
      </c>
    </row>
    <row r="610" spans="1:14" x14ac:dyDescent="0.25">
      <c r="A610">
        <v>609</v>
      </c>
      <c r="B610" t="s">
        <v>1894</v>
      </c>
      <c r="C610" t="s">
        <v>1151</v>
      </c>
      <c r="D610" t="s">
        <v>1814</v>
      </c>
      <c r="E610">
        <v>2</v>
      </c>
      <c r="F610">
        <v>50</v>
      </c>
      <c r="G610">
        <v>100</v>
      </c>
      <c r="H610" s="9">
        <v>0</v>
      </c>
      <c r="I610">
        <v>27.43</v>
      </c>
      <c r="J610" s="10">
        <f t="shared" si="18"/>
        <v>12</v>
      </c>
      <c r="K610" s="11">
        <f t="shared" si="19"/>
        <v>0.27429999999999999</v>
      </c>
      <c r="L610" t="str">
        <f>VLOOKUP(C610,Customers!$A$2:$F$1001,2,FALSE())</f>
        <v>Margaret Robinson</v>
      </c>
      <c r="M610" t="str">
        <f>VLOOKUP(C610,Customers!$A$2:$F$1001,3,FALSE())</f>
        <v>South</v>
      </c>
      <c r="N610" t="str">
        <f>VLOOKUP(C610,Customers!$A$2:$F$1001,4,FALSE())</f>
        <v>Corporate</v>
      </c>
    </row>
    <row r="611" spans="1:14" x14ac:dyDescent="0.25">
      <c r="A611">
        <v>610</v>
      </c>
      <c r="B611" t="s">
        <v>2111</v>
      </c>
      <c r="C611" t="s">
        <v>1153</v>
      </c>
      <c r="D611" t="s">
        <v>1812</v>
      </c>
      <c r="E611">
        <v>2</v>
      </c>
      <c r="F611">
        <v>300</v>
      </c>
      <c r="G611">
        <v>600</v>
      </c>
      <c r="H611" s="9">
        <v>0</v>
      </c>
      <c r="I611">
        <v>207.13</v>
      </c>
      <c r="J611" s="10">
        <f t="shared" si="18"/>
        <v>1</v>
      </c>
      <c r="K611" s="11">
        <f t="shared" si="19"/>
        <v>0.34521666666666667</v>
      </c>
      <c r="L611" t="str">
        <f>VLOOKUP(C611,Customers!$A$2:$F$1001,2,FALSE())</f>
        <v>Kenneth Moore</v>
      </c>
      <c r="M611" t="str">
        <f>VLOOKUP(C611,Customers!$A$2:$F$1001,3,FALSE())</f>
        <v>South</v>
      </c>
      <c r="N611" t="str">
        <f>VLOOKUP(C611,Customers!$A$2:$F$1001,4,FALSE())</f>
        <v>Consumer</v>
      </c>
    </row>
    <row r="612" spans="1:14" x14ac:dyDescent="0.25">
      <c r="A612">
        <v>611</v>
      </c>
      <c r="B612" t="s">
        <v>1944</v>
      </c>
      <c r="C612" t="s">
        <v>1155</v>
      </c>
      <c r="D612" t="s">
        <v>1812</v>
      </c>
      <c r="E612">
        <v>3</v>
      </c>
      <c r="F612">
        <v>500</v>
      </c>
      <c r="G612">
        <v>1500</v>
      </c>
      <c r="H612" s="9">
        <v>0.1</v>
      </c>
      <c r="I612">
        <v>332</v>
      </c>
      <c r="J612" s="10">
        <f t="shared" si="18"/>
        <v>2</v>
      </c>
      <c r="K612" s="11">
        <f t="shared" si="19"/>
        <v>0.22133333333333333</v>
      </c>
      <c r="L612" t="str">
        <f>VLOOKUP(C612,Customers!$A$2:$F$1001,2,FALSE())</f>
        <v>Steven Thompson</v>
      </c>
      <c r="M612" t="str">
        <f>VLOOKUP(C612,Customers!$A$2:$F$1001,3,FALSE())</f>
        <v>North</v>
      </c>
      <c r="N612" t="str">
        <f>VLOOKUP(C612,Customers!$A$2:$F$1001,4,FALSE())</f>
        <v>Home Office</v>
      </c>
    </row>
    <row r="613" spans="1:14" x14ac:dyDescent="0.25">
      <c r="A613">
        <v>612</v>
      </c>
      <c r="B613" t="s">
        <v>2112</v>
      </c>
      <c r="C613" t="s">
        <v>1156</v>
      </c>
      <c r="D613" t="s">
        <v>1816</v>
      </c>
      <c r="E613">
        <v>1</v>
      </c>
      <c r="F613">
        <v>500</v>
      </c>
      <c r="G613">
        <v>500</v>
      </c>
      <c r="H613" s="9">
        <v>0.05</v>
      </c>
      <c r="I613">
        <v>18.920000000000002</v>
      </c>
      <c r="J613" s="10">
        <f t="shared" si="18"/>
        <v>8</v>
      </c>
      <c r="K613" s="11">
        <f t="shared" si="19"/>
        <v>3.7840000000000006E-2</v>
      </c>
      <c r="L613" t="str">
        <f>VLOOKUP(C613,Customers!$A$2:$F$1001,2,FALSE())</f>
        <v>Edward Clark</v>
      </c>
      <c r="M613" t="str">
        <f>VLOOKUP(C613,Customers!$A$2:$F$1001,3,FALSE())</f>
        <v>East</v>
      </c>
      <c r="N613" t="str">
        <f>VLOOKUP(C613,Customers!$A$2:$F$1001,4,FALSE())</f>
        <v>Home Office</v>
      </c>
    </row>
    <row r="614" spans="1:14" x14ac:dyDescent="0.25">
      <c r="A614">
        <v>613</v>
      </c>
      <c r="B614" t="s">
        <v>1840</v>
      </c>
      <c r="C614" t="s">
        <v>1158</v>
      </c>
      <c r="D614" t="s">
        <v>1814</v>
      </c>
      <c r="E614">
        <v>3</v>
      </c>
      <c r="F614">
        <v>30</v>
      </c>
      <c r="G614">
        <v>90</v>
      </c>
      <c r="H614" s="9">
        <v>0.1</v>
      </c>
      <c r="I614">
        <v>8.85</v>
      </c>
      <c r="J614" s="10">
        <f t="shared" si="18"/>
        <v>4</v>
      </c>
      <c r="K614" s="11">
        <f t="shared" si="19"/>
        <v>9.8333333333333328E-2</v>
      </c>
      <c r="L614" t="str">
        <f>VLOOKUP(C614,Customers!$A$2:$F$1001,2,FALSE())</f>
        <v>Christopher Hill</v>
      </c>
      <c r="M614" t="str">
        <f>VLOOKUP(C614,Customers!$A$2:$F$1001,3,FALSE())</f>
        <v>East</v>
      </c>
      <c r="N614" t="str">
        <f>VLOOKUP(C614,Customers!$A$2:$F$1001,4,FALSE())</f>
        <v>Consumer</v>
      </c>
    </row>
    <row r="615" spans="1:14" x14ac:dyDescent="0.25">
      <c r="A615">
        <v>614</v>
      </c>
      <c r="B615" t="s">
        <v>2072</v>
      </c>
      <c r="C615" t="s">
        <v>1160</v>
      </c>
      <c r="D615" t="s">
        <v>1812</v>
      </c>
      <c r="E615">
        <v>4</v>
      </c>
      <c r="F615">
        <v>300</v>
      </c>
      <c r="G615">
        <v>1200</v>
      </c>
      <c r="H615" s="9">
        <v>0.2</v>
      </c>
      <c r="I615">
        <v>143.46</v>
      </c>
      <c r="J615" s="10">
        <f t="shared" si="18"/>
        <v>4</v>
      </c>
      <c r="K615" s="11">
        <f t="shared" si="19"/>
        <v>0.11955</v>
      </c>
      <c r="L615" t="str">
        <f>VLOOKUP(C615,Customers!$A$2:$F$1001,2,FALSE())</f>
        <v>Jennifer Flores</v>
      </c>
      <c r="M615" t="str">
        <f>VLOOKUP(C615,Customers!$A$2:$F$1001,3,FALSE())</f>
        <v>South</v>
      </c>
      <c r="N615" t="str">
        <f>VLOOKUP(C615,Customers!$A$2:$F$1001,4,FALSE())</f>
        <v>Corporate</v>
      </c>
    </row>
    <row r="616" spans="1:14" x14ac:dyDescent="0.25">
      <c r="A616">
        <v>615</v>
      </c>
      <c r="B616" t="s">
        <v>2018</v>
      </c>
      <c r="C616" t="s">
        <v>1162</v>
      </c>
      <c r="D616" t="s">
        <v>1814</v>
      </c>
      <c r="E616">
        <v>4</v>
      </c>
      <c r="F616">
        <v>25</v>
      </c>
      <c r="G616">
        <v>100</v>
      </c>
      <c r="H616" s="9">
        <v>0.1</v>
      </c>
      <c r="I616">
        <v>12.59</v>
      </c>
      <c r="J616" s="10">
        <f t="shared" si="18"/>
        <v>12</v>
      </c>
      <c r="K616" s="11">
        <f t="shared" si="19"/>
        <v>0.12590000000000001</v>
      </c>
      <c r="L616" t="str">
        <f>VLOOKUP(C616,Customers!$A$2:$F$1001,2,FALSE())</f>
        <v>Linda Lopez</v>
      </c>
      <c r="M616" t="str">
        <f>VLOOKUP(C616,Customers!$A$2:$F$1001,3,FALSE())</f>
        <v>West</v>
      </c>
      <c r="N616" t="str">
        <f>VLOOKUP(C616,Customers!$A$2:$F$1001,4,FALSE())</f>
        <v>Consumer</v>
      </c>
    </row>
    <row r="617" spans="1:14" x14ac:dyDescent="0.25">
      <c r="A617">
        <v>616</v>
      </c>
      <c r="B617" t="s">
        <v>2113</v>
      </c>
      <c r="C617" t="s">
        <v>1163</v>
      </c>
      <c r="D617" t="s">
        <v>1814</v>
      </c>
      <c r="E617">
        <v>2</v>
      </c>
      <c r="F617">
        <v>50</v>
      </c>
      <c r="G617">
        <v>100</v>
      </c>
      <c r="H617" s="9">
        <v>0.1</v>
      </c>
      <c r="I617">
        <v>13.22</v>
      </c>
      <c r="J617" s="10">
        <f t="shared" si="18"/>
        <v>9</v>
      </c>
      <c r="K617" s="11">
        <f t="shared" si="19"/>
        <v>0.13220000000000001</v>
      </c>
      <c r="L617" t="str">
        <f>VLOOKUP(C617,Customers!$A$2:$F$1001,2,FALSE())</f>
        <v>Dorothy Robinson</v>
      </c>
      <c r="M617" t="str">
        <f>VLOOKUP(C617,Customers!$A$2:$F$1001,3,FALSE())</f>
        <v>North</v>
      </c>
      <c r="N617" t="str">
        <f>VLOOKUP(C617,Customers!$A$2:$F$1001,4,FALSE())</f>
        <v>Consumer</v>
      </c>
    </row>
    <row r="618" spans="1:14" x14ac:dyDescent="0.25">
      <c r="A618">
        <v>617</v>
      </c>
      <c r="B618" t="s">
        <v>2114</v>
      </c>
      <c r="C618" t="s">
        <v>1165</v>
      </c>
      <c r="D618" t="s">
        <v>1816</v>
      </c>
      <c r="E618">
        <v>1</v>
      </c>
      <c r="F618">
        <v>30</v>
      </c>
      <c r="G618">
        <v>30</v>
      </c>
      <c r="H618" s="9">
        <v>0.05</v>
      </c>
      <c r="I618">
        <v>3.64</v>
      </c>
      <c r="J618" s="10">
        <f t="shared" si="18"/>
        <v>8</v>
      </c>
      <c r="K618" s="11">
        <f t="shared" si="19"/>
        <v>0.12133333333333333</v>
      </c>
      <c r="L618" t="str">
        <f>VLOOKUP(C618,Customers!$A$2:$F$1001,2,FALSE())</f>
        <v>Edward Robinson</v>
      </c>
      <c r="M618" t="str">
        <f>VLOOKUP(C618,Customers!$A$2:$F$1001,3,FALSE())</f>
        <v>North</v>
      </c>
      <c r="N618" t="str">
        <f>VLOOKUP(C618,Customers!$A$2:$F$1001,4,FALSE())</f>
        <v>Consumer</v>
      </c>
    </row>
    <row r="619" spans="1:14" x14ac:dyDescent="0.25">
      <c r="A619">
        <v>618</v>
      </c>
      <c r="B619" t="s">
        <v>2011</v>
      </c>
      <c r="C619" t="s">
        <v>1167</v>
      </c>
      <c r="D619" t="s">
        <v>1812</v>
      </c>
      <c r="E619">
        <v>1</v>
      </c>
      <c r="F619">
        <v>50</v>
      </c>
      <c r="G619">
        <v>50</v>
      </c>
      <c r="H619" s="9">
        <v>0</v>
      </c>
      <c r="I619">
        <v>15.72</v>
      </c>
      <c r="J619" s="10">
        <f t="shared" si="18"/>
        <v>1</v>
      </c>
      <c r="K619" s="11">
        <f t="shared" si="19"/>
        <v>0.31440000000000001</v>
      </c>
      <c r="L619" t="str">
        <f>VLOOKUP(C619,Customers!$A$2:$F$1001,2,FALSE())</f>
        <v>Ashley Wilson</v>
      </c>
      <c r="M619" t="str">
        <f>VLOOKUP(C619,Customers!$A$2:$F$1001,3,FALSE())</f>
        <v>East</v>
      </c>
      <c r="N619" t="str">
        <f>VLOOKUP(C619,Customers!$A$2:$F$1001,4,FALSE())</f>
        <v>Home Office</v>
      </c>
    </row>
    <row r="620" spans="1:14" x14ac:dyDescent="0.25">
      <c r="A620">
        <v>619</v>
      </c>
      <c r="B620" t="s">
        <v>1895</v>
      </c>
      <c r="C620" t="s">
        <v>1169</v>
      </c>
      <c r="D620" t="s">
        <v>1816</v>
      </c>
      <c r="E620">
        <v>4</v>
      </c>
      <c r="F620">
        <v>25</v>
      </c>
      <c r="G620">
        <v>100</v>
      </c>
      <c r="H620" s="9">
        <v>0.05</v>
      </c>
      <c r="I620">
        <v>8.2899999999999991</v>
      </c>
      <c r="J620" s="10">
        <f t="shared" si="18"/>
        <v>10</v>
      </c>
      <c r="K620" s="11">
        <f t="shared" si="19"/>
        <v>8.2899999999999988E-2</v>
      </c>
      <c r="L620" t="str">
        <f>VLOOKUP(C620,Customers!$A$2:$F$1001,2,FALSE())</f>
        <v>James Jones</v>
      </c>
      <c r="M620" t="str">
        <f>VLOOKUP(C620,Customers!$A$2:$F$1001,3,FALSE())</f>
        <v>West</v>
      </c>
      <c r="N620" t="str">
        <f>VLOOKUP(C620,Customers!$A$2:$F$1001,4,FALSE())</f>
        <v>Home Office</v>
      </c>
    </row>
    <row r="621" spans="1:14" x14ac:dyDescent="0.25">
      <c r="A621">
        <v>620</v>
      </c>
      <c r="B621" t="s">
        <v>2007</v>
      </c>
      <c r="C621" t="s">
        <v>1171</v>
      </c>
      <c r="D621" t="s">
        <v>1816</v>
      </c>
      <c r="E621">
        <v>3</v>
      </c>
      <c r="F621">
        <v>25</v>
      </c>
      <c r="G621">
        <v>75</v>
      </c>
      <c r="H621" s="9">
        <v>0.25</v>
      </c>
      <c r="I621">
        <v>-3.75</v>
      </c>
      <c r="J621" s="10">
        <f t="shared" si="18"/>
        <v>5</v>
      </c>
      <c r="K621" s="11">
        <f t="shared" si="19"/>
        <v>-0.05</v>
      </c>
      <c r="L621" t="str">
        <f>VLOOKUP(C621,Customers!$A$2:$F$1001,2,FALSE())</f>
        <v>Joseph Johnson</v>
      </c>
      <c r="M621" t="str">
        <f>VLOOKUP(C621,Customers!$A$2:$F$1001,3,FALSE())</f>
        <v>North</v>
      </c>
      <c r="N621" t="str">
        <f>VLOOKUP(C621,Customers!$A$2:$F$1001,4,FALSE())</f>
        <v>Home Office</v>
      </c>
    </row>
    <row r="622" spans="1:14" x14ac:dyDescent="0.25">
      <c r="A622">
        <v>621</v>
      </c>
      <c r="B622" t="s">
        <v>2115</v>
      </c>
      <c r="C622" t="s">
        <v>1172</v>
      </c>
      <c r="D622" t="s">
        <v>1812</v>
      </c>
      <c r="E622">
        <v>2</v>
      </c>
      <c r="F622">
        <v>500</v>
      </c>
      <c r="G622">
        <v>1000</v>
      </c>
      <c r="H622" s="9">
        <v>0.1</v>
      </c>
      <c r="I622">
        <v>208.88</v>
      </c>
      <c r="J622" s="10">
        <f t="shared" si="18"/>
        <v>3</v>
      </c>
      <c r="K622" s="11">
        <f t="shared" si="19"/>
        <v>0.20887999999999998</v>
      </c>
      <c r="L622" t="str">
        <f>VLOOKUP(C622,Customers!$A$2:$F$1001,2,FALSE())</f>
        <v>Margaret Young</v>
      </c>
      <c r="M622" t="str">
        <f>VLOOKUP(C622,Customers!$A$2:$F$1001,3,FALSE())</f>
        <v>North</v>
      </c>
      <c r="N622" t="str">
        <f>VLOOKUP(C622,Customers!$A$2:$F$1001,4,FALSE())</f>
        <v>Home Office</v>
      </c>
    </row>
    <row r="623" spans="1:14" x14ac:dyDescent="0.25">
      <c r="A623">
        <v>622</v>
      </c>
      <c r="B623" t="s">
        <v>2104</v>
      </c>
      <c r="C623" t="s">
        <v>1173</v>
      </c>
      <c r="D623" t="s">
        <v>1812</v>
      </c>
      <c r="E623">
        <v>3</v>
      </c>
      <c r="F623">
        <v>25</v>
      </c>
      <c r="G623">
        <v>75</v>
      </c>
      <c r="H623" s="9">
        <v>0</v>
      </c>
      <c r="I623">
        <v>29.47</v>
      </c>
      <c r="J623" s="10">
        <f t="shared" si="18"/>
        <v>8</v>
      </c>
      <c r="K623" s="11">
        <f t="shared" si="19"/>
        <v>0.3929333333333333</v>
      </c>
      <c r="L623" t="str">
        <f>VLOOKUP(C623,Customers!$A$2:$F$1001,2,FALSE())</f>
        <v>Edward Martin</v>
      </c>
      <c r="M623" t="str">
        <f>VLOOKUP(C623,Customers!$A$2:$F$1001,3,FALSE())</f>
        <v>South</v>
      </c>
      <c r="N623" t="str">
        <f>VLOOKUP(C623,Customers!$A$2:$F$1001,4,FALSE())</f>
        <v>Home Office</v>
      </c>
    </row>
    <row r="624" spans="1:14" x14ac:dyDescent="0.25">
      <c r="A624">
        <v>623</v>
      </c>
      <c r="B624" t="s">
        <v>2053</v>
      </c>
      <c r="C624" t="s">
        <v>1175</v>
      </c>
      <c r="D624" t="s">
        <v>1814</v>
      </c>
      <c r="E624">
        <v>3</v>
      </c>
      <c r="F624">
        <v>50</v>
      </c>
      <c r="G624">
        <v>150</v>
      </c>
      <c r="H624" s="9">
        <v>0.05</v>
      </c>
      <c r="I624">
        <v>32.590000000000003</v>
      </c>
      <c r="J624" s="10">
        <f t="shared" si="18"/>
        <v>3</v>
      </c>
      <c r="K624" s="11">
        <f t="shared" si="19"/>
        <v>0.21726666666666669</v>
      </c>
      <c r="L624" t="str">
        <f>VLOOKUP(C624,Customers!$A$2:$F$1001,2,FALSE())</f>
        <v>Carol Flores</v>
      </c>
      <c r="M624" t="str">
        <f>VLOOKUP(C624,Customers!$A$2:$F$1001,3,FALSE())</f>
        <v>West</v>
      </c>
      <c r="N624" t="str">
        <f>VLOOKUP(C624,Customers!$A$2:$F$1001,4,FALSE())</f>
        <v>Consumer</v>
      </c>
    </row>
    <row r="625" spans="1:14" x14ac:dyDescent="0.25">
      <c r="A625">
        <v>624</v>
      </c>
      <c r="B625" t="s">
        <v>2114</v>
      </c>
      <c r="C625" t="s">
        <v>1177</v>
      </c>
      <c r="D625" t="s">
        <v>1812</v>
      </c>
      <c r="E625">
        <v>3</v>
      </c>
      <c r="F625">
        <v>300</v>
      </c>
      <c r="G625">
        <v>900</v>
      </c>
      <c r="H625" s="9">
        <v>0.15</v>
      </c>
      <c r="I625">
        <v>160.83000000000001</v>
      </c>
      <c r="J625" s="10">
        <f t="shared" si="18"/>
        <v>8</v>
      </c>
      <c r="K625" s="11">
        <f t="shared" si="19"/>
        <v>0.17870000000000003</v>
      </c>
      <c r="L625" t="str">
        <f>VLOOKUP(C625,Customers!$A$2:$F$1001,2,FALSE())</f>
        <v>Kevin Jackson</v>
      </c>
      <c r="M625" t="str">
        <f>VLOOKUP(C625,Customers!$A$2:$F$1001,3,FALSE())</f>
        <v>North</v>
      </c>
      <c r="N625" t="str">
        <f>VLOOKUP(C625,Customers!$A$2:$F$1001,4,FALSE())</f>
        <v>Home Office</v>
      </c>
    </row>
    <row r="626" spans="1:14" x14ac:dyDescent="0.25">
      <c r="A626">
        <v>625</v>
      </c>
      <c r="B626" t="s">
        <v>2050</v>
      </c>
      <c r="C626" t="s">
        <v>1179</v>
      </c>
      <c r="D626" t="s">
        <v>1814</v>
      </c>
      <c r="E626">
        <v>1</v>
      </c>
      <c r="F626">
        <v>300</v>
      </c>
      <c r="G626">
        <v>300</v>
      </c>
      <c r="H626" s="9">
        <v>0.1</v>
      </c>
      <c r="I626">
        <v>55.15</v>
      </c>
      <c r="J626" s="10">
        <f t="shared" si="18"/>
        <v>12</v>
      </c>
      <c r="K626" s="11">
        <f t="shared" si="19"/>
        <v>0.18383333333333332</v>
      </c>
      <c r="L626" t="str">
        <f>VLOOKUP(C626,Customers!$A$2:$F$1001,2,FALSE())</f>
        <v>Thomas Flores</v>
      </c>
      <c r="M626" t="str">
        <f>VLOOKUP(C626,Customers!$A$2:$F$1001,3,FALSE())</f>
        <v>South</v>
      </c>
      <c r="N626" t="str">
        <f>VLOOKUP(C626,Customers!$A$2:$F$1001,4,FALSE())</f>
        <v>Corporate</v>
      </c>
    </row>
    <row r="627" spans="1:14" x14ac:dyDescent="0.25">
      <c r="A627">
        <v>626</v>
      </c>
      <c r="B627" t="s">
        <v>1950</v>
      </c>
      <c r="C627" t="s">
        <v>1181</v>
      </c>
      <c r="D627" t="s">
        <v>1814</v>
      </c>
      <c r="E627">
        <v>4</v>
      </c>
      <c r="F627">
        <v>500</v>
      </c>
      <c r="G627">
        <v>2000</v>
      </c>
      <c r="H627" s="9">
        <v>0.1</v>
      </c>
      <c r="I627">
        <v>170.07</v>
      </c>
      <c r="J627" s="10">
        <f t="shared" si="18"/>
        <v>9</v>
      </c>
      <c r="K627" s="11">
        <f t="shared" si="19"/>
        <v>8.5034999999999999E-2</v>
      </c>
      <c r="L627" t="str">
        <f>VLOOKUP(C627,Customers!$A$2:$F$1001,2,FALSE())</f>
        <v>Richard Taylor</v>
      </c>
      <c r="M627" t="str">
        <f>VLOOKUP(C627,Customers!$A$2:$F$1001,3,FALSE())</f>
        <v>East</v>
      </c>
      <c r="N627" t="str">
        <f>VLOOKUP(C627,Customers!$A$2:$F$1001,4,FALSE())</f>
        <v>Consumer</v>
      </c>
    </row>
    <row r="628" spans="1:14" x14ac:dyDescent="0.25">
      <c r="A628">
        <v>627</v>
      </c>
      <c r="B628" t="s">
        <v>2071</v>
      </c>
      <c r="C628" t="s">
        <v>1183</v>
      </c>
      <c r="D628" t="s">
        <v>1814</v>
      </c>
      <c r="E628">
        <v>1</v>
      </c>
      <c r="F628">
        <v>50</v>
      </c>
      <c r="G628">
        <v>50</v>
      </c>
      <c r="H628" s="9">
        <v>0.2</v>
      </c>
      <c r="I628">
        <v>0.49</v>
      </c>
      <c r="J628" s="10">
        <f t="shared" si="18"/>
        <v>10</v>
      </c>
      <c r="K628" s="11">
        <f t="shared" si="19"/>
        <v>9.7999999999999997E-3</v>
      </c>
      <c r="L628" t="str">
        <f>VLOOKUP(C628,Customers!$A$2:$F$1001,2,FALSE())</f>
        <v>Patricia Young</v>
      </c>
      <c r="M628" t="str">
        <f>VLOOKUP(C628,Customers!$A$2:$F$1001,3,FALSE())</f>
        <v>South</v>
      </c>
      <c r="N628" t="str">
        <f>VLOOKUP(C628,Customers!$A$2:$F$1001,4,FALSE())</f>
        <v>Corporate</v>
      </c>
    </row>
    <row r="629" spans="1:14" x14ac:dyDescent="0.25">
      <c r="A629">
        <v>628</v>
      </c>
      <c r="B629" t="s">
        <v>2029</v>
      </c>
      <c r="C629" t="s">
        <v>1185</v>
      </c>
      <c r="D629" t="s">
        <v>1812</v>
      </c>
      <c r="E629">
        <v>4</v>
      </c>
      <c r="F629">
        <v>50</v>
      </c>
      <c r="G629">
        <v>200</v>
      </c>
      <c r="H629" s="9">
        <v>0.1</v>
      </c>
      <c r="I629">
        <v>48.2</v>
      </c>
      <c r="J629" s="10">
        <f t="shared" si="18"/>
        <v>11</v>
      </c>
      <c r="K629" s="11">
        <f t="shared" si="19"/>
        <v>0.24100000000000002</v>
      </c>
      <c r="L629" t="str">
        <f>VLOOKUP(C629,Customers!$A$2:$F$1001,2,FALSE())</f>
        <v>Steven Brown</v>
      </c>
      <c r="M629" t="str">
        <f>VLOOKUP(C629,Customers!$A$2:$F$1001,3,FALSE())</f>
        <v>North</v>
      </c>
      <c r="N629" t="str">
        <f>VLOOKUP(C629,Customers!$A$2:$F$1001,4,FALSE())</f>
        <v>Consumer</v>
      </c>
    </row>
    <row r="630" spans="1:14" x14ac:dyDescent="0.25">
      <c r="A630">
        <v>629</v>
      </c>
      <c r="B630" t="s">
        <v>2116</v>
      </c>
      <c r="C630" t="s">
        <v>1187</v>
      </c>
      <c r="D630" t="s">
        <v>1816</v>
      </c>
      <c r="E630">
        <v>2</v>
      </c>
      <c r="F630">
        <v>25</v>
      </c>
      <c r="G630">
        <v>50</v>
      </c>
      <c r="H630" s="9">
        <v>0.1</v>
      </c>
      <c r="I630">
        <v>0.13</v>
      </c>
      <c r="J630" s="10">
        <f t="shared" si="18"/>
        <v>6</v>
      </c>
      <c r="K630" s="11">
        <f t="shared" si="19"/>
        <v>2.5999999999999999E-3</v>
      </c>
      <c r="L630" t="str">
        <f>VLOOKUP(C630,Customers!$A$2:$F$1001,2,FALSE())</f>
        <v>Barbara Thompson</v>
      </c>
      <c r="M630" t="str">
        <f>VLOOKUP(C630,Customers!$A$2:$F$1001,3,FALSE())</f>
        <v>North</v>
      </c>
      <c r="N630" t="str">
        <f>VLOOKUP(C630,Customers!$A$2:$F$1001,4,FALSE())</f>
        <v>Consumer</v>
      </c>
    </row>
    <row r="631" spans="1:14" x14ac:dyDescent="0.25">
      <c r="A631">
        <v>630</v>
      </c>
      <c r="B631" t="s">
        <v>2010</v>
      </c>
      <c r="C631" t="s">
        <v>1189</v>
      </c>
      <c r="D631" t="s">
        <v>1814</v>
      </c>
      <c r="E631">
        <v>2</v>
      </c>
      <c r="F631">
        <v>50</v>
      </c>
      <c r="G631">
        <v>100</v>
      </c>
      <c r="H631" s="9">
        <v>0</v>
      </c>
      <c r="I631">
        <v>25.9</v>
      </c>
      <c r="J631" s="10">
        <f t="shared" si="18"/>
        <v>8</v>
      </c>
      <c r="K631" s="11">
        <f t="shared" si="19"/>
        <v>0.25900000000000001</v>
      </c>
      <c r="L631" t="str">
        <f>VLOOKUP(C631,Customers!$A$2:$F$1001,2,FALSE())</f>
        <v>Betty Allen</v>
      </c>
      <c r="M631" t="str">
        <f>VLOOKUP(C631,Customers!$A$2:$F$1001,3,FALSE())</f>
        <v>South</v>
      </c>
      <c r="N631" t="str">
        <f>VLOOKUP(C631,Customers!$A$2:$F$1001,4,FALSE())</f>
        <v>Consumer</v>
      </c>
    </row>
    <row r="632" spans="1:14" x14ac:dyDescent="0.25">
      <c r="A632">
        <v>631</v>
      </c>
      <c r="B632" t="s">
        <v>2049</v>
      </c>
      <c r="C632" t="s">
        <v>1191</v>
      </c>
      <c r="D632" t="s">
        <v>1816</v>
      </c>
      <c r="E632">
        <v>3</v>
      </c>
      <c r="F632">
        <v>30</v>
      </c>
      <c r="G632">
        <v>90</v>
      </c>
      <c r="H632" s="9">
        <v>0</v>
      </c>
      <c r="I632">
        <v>10.51</v>
      </c>
      <c r="J632" s="10">
        <f t="shared" si="18"/>
        <v>11</v>
      </c>
      <c r="K632" s="11">
        <f t="shared" si="19"/>
        <v>0.11677777777777777</v>
      </c>
      <c r="L632" t="str">
        <f>VLOOKUP(C632,Customers!$A$2:$F$1001,2,FALSE())</f>
        <v>Susan Torres</v>
      </c>
      <c r="M632" t="str">
        <f>VLOOKUP(C632,Customers!$A$2:$F$1001,3,FALSE())</f>
        <v>South</v>
      </c>
      <c r="N632" t="str">
        <f>VLOOKUP(C632,Customers!$A$2:$F$1001,4,FALSE())</f>
        <v>Consumer</v>
      </c>
    </row>
    <row r="633" spans="1:14" x14ac:dyDescent="0.25">
      <c r="A633">
        <v>632</v>
      </c>
      <c r="B633" t="s">
        <v>1832</v>
      </c>
      <c r="C633" t="s">
        <v>1193</v>
      </c>
      <c r="D633" t="s">
        <v>1816</v>
      </c>
      <c r="E633">
        <v>4</v>
      </c>
      <c r="F633">
        <v>25</v>
      </c>
      <c r="G633">
        <v>100</v>
      </c>
      <c r="H633" s="9">
        <v>0.25</v>
      </c>
      <c r="I633">
        <v>-5</v>
      </c>
      <c r="J633" s="10">
        <f t="shared" si="18"/>
        <v>9</v>
      </c>
      <c r="K633" s="11">
        <f t="shared" si="19"/>
        <v>-0.05</v>
      </c>
      <c r="L633" t="str">
        <f>VLOOKUP(C633,Customers!$A$2:$F$1001,2,FALSE())</f>
        <v>Daniel Allen</v>
      </c>
      <c r="M633" t="str">
        <f>VLOOKUP(C633,Customers!$A$2:$F$1001,3,FALSE())</f>
        <v>West</v>
      </c>
      <c r="N633" t="str">
        <f>VLOOKUP(C633,Customers!$A$2:$F$1001,4,FALSE())</f>
        <v>Consumer</v>
      </c>
    </row>
    <row r="634" spans="1:14" x14ac:dyDescent="0.25">
      <c r="A634">
        <v>633</v>
      </c>
      <c r="B634" t="s">
        <v>2066</v>
      </c>
      <c r="C634" t="s">
        <v>1195</v>
      </c>
      <c r="D634" t="s">
        <v>1812</v>
      </c>
      <c r="E634">
        <v>4</v>
      </c>
      <c r="F634">
        <v>30</v>
      </c>
      <c r="G634">
        <v>120</v>
      </c>
      <c r="H634" s="9">
        <v>0.1</v>
      </c>
      <c r="I634">
        <v>31.41</v>
      </c>
      <c r="J634" s="10">
        <f t="shared" si="18"/>
        <v>8</v>
      </c>
      <c r="K634" s="11">
        <f t="shared" si="19"/>
        <v>0.26174999999999998</v>
      </c>
      <c r="L634" t="str">
        <f>VLOOKUP(C634,Customers!$A$2:$F$1001,2,FALSE())</f>
        <v>Barbara Johnson</v>
      </c>
      <c r="M634" t="str">
        <f>VLOOKUP(C634,Customers!$A$2:$F$1001,3,FALSE())</f>
        <v>East</v>
      </c>
      <c r="N634" t="str">
        <f>VLOOKUP(C634,Customers!$A$2:$F$1001,4,FALSE())</f>
        <v>Home Office</v>
      </c>
    </row>
    <row r="635" spans="1:14" x14ac:dyDescent="0.25">
      <c r="A635">
        <v>634</v>
      </c>
      <c r="B635" t="s">
        <v>2097</v>
      </c>
      <c r="C635" t="s">
        <v>1196</v>
      </c>
      <c r="D635" t="s">
        <v>1816</v>
      </c>
      <c r="E635">
        <v>4</v>
      </c>
      <c r="F635">
        <v>500</v>
      </c>
      <c r="G635">
        <v>2000</v>
      </c>
      <c r="H635" s="9">
        <v>0.05</v>
      </c>
      <c r="I635">
        <v>196.34</v>
      </c>
      <c r="J635" s="10">
        <f t="shared" si="18"/>
        <v>10</v>
      </c>
      <c r="K635" s="11">
        <f t="shared" si="19"/>
        <v>9.8170000000000007E-2</v>
      </c>
      <c r="L635" t="str">
        <f>VLOOKUP(C635,Customers!$A$2:$F$1001,2,FALSE())</f>
        <v>Robert Anderson</v>
      </c>
      <c r="M635" t="str">
        <f>VLOOKUP(C635,Customers!$A$2:$F$1001,3,FALSE())</f>
        <v>East</v>
      </c>
      <c r="N635" t="str">
        <f>VLOOKUP(C635,Customers!$A$2:$F$1001,4,FALSE())</f>
        <v>Corporate</v>
      </c>
    </row>
    <row r="636" spans="1:14" x14ac:dyDescent="0.25">
      <c r="A636">
        <v>635</v>
      </c>
      <c r="B636" t="s">
        <v>2117</v>
      </c>
      <c r="C636" t="s">
        <v>1198</v>
      </c>
      <c r="D636" t="s">
        <v>1816</v>
      </c>
      <c r="E636">
        <v>3</v>
      </c>
      <c r="F636">
        <v>300</v>
      </c>
      <c r="G636">
        <v>900</v>
      </c>
      <c r="H636" s="9">
        <v>0.1</v>
      </c>
      <c r="I636">
        <v>-23.03</v>
      </c>
      <c r="J636" s="10">
        <f t="shared" si="18"/>
        <v>8</v>
      </c>
      <c r="K636" s="11">
        <f t="shared" si="19"/>
        <v>-2.558888888888889E-2</v>
      </c>
      <c r="L636" t="str">
        <f>VLOOKUP(C636,Customers!$A$2:$F$1001,2,FALSE())</f>
        <v>Melissa Johnson</v>
      </c>
      <c r="M636" t="str">
        <f>VLOOKUP(C636,Customers!$A$2:$F$1001,3,FALSE())</f>
        <v>West</v>
      </c>
      <c r="N636" t="str">
        <f>VLOOKUP(C636,Customers!$A$2:$F$1001,4,FALSE())</f>
        <v>Corporate</v>
      </c>
    </row>
    <row r="637" spans="1:14" x14ac:dyDescent="0.25">
      <c r="A637">
        <v>636</v>
      </c>
      <c r="B637" t="s">
        <v>1845</v>
      </c>
      <c r="C637" t="s">
        <v>1199</v>
      </c>
      <c r="D637" t="s">
        <v>1812</v>
      </c>
      <c r="E637">
        <v>3</v>
      </c>
      <c r="F637">
        <v>500</v>
      </c>
      <c r="G637">
        <v>1500</v>
      </c>
      <c r="H637" s="9">
        <v>0</v>
      </c>
      <c r="I637">
        <v>481.49</v>
      </c>
      <c r="J637" s="10">
        <f t="shared" si="18"/>
        <v>3</v>
      </c>
      <c r="K637" s="11">
        <f t="shared" si="19"/>
        <v>0.32099333333333335</v>
      </c>
      <c r="L637" t="str">
        <f>VLOOKUP(C637,Customers!$A$2:$F$1001,2,FALSE())</f>
        <v>Charles Jones</v>
      </c>
      <c r="M637" t="str">
        <f>VLOOKUP(C637,Customers!$A$2:$F$1001,3,FALSE())</f>
        <v>South</v>
      </c>
      <c r="N637" t="str">
        <f>VLOOKUP(C637,Customers!$A$2:$F$1001,4,FALSE())</f>
        <v>Consumer</v>
      </c>
    </row>
    <row r="638" spans="1:14" x14ac:dyDescent="0.25">
      <c r="A638">
        <v>637</v>
      </c>
      <c r="B638" t="s">
        <v>1966</v>
      </c>
      <c r="C638" t="s">
        <v>1201</v>
      </c>
      <c r="D638" t="s">
        <v>1814</v>
      </c>
      <c r="E638">
        <v>2</v>
      </c>
      <c r="F638">
        <v>300</v>
      </c>
      <c r="G638">
        <v>600</v>
      </c>
      <c r="H638" s="9">
        <v>0.15</v>
      </c>
      <c r="I638">
        <v>52.16</v>
      </c>
      <c r="J638" s="10">
        <f t="shared" si="18"/>
        <v>9</v>
      </c>
      <c r="K638" s="11">
        <f t="shared" si="19"/>
        <v>8.6933333333333321E-2</v>
      </c>
      <c r="L638" t="str">
        <f>VLOOKUP(C638,Customers!$A$2:$F$1001,2,FALSE())</f>
        <v>George Ramirez</v>
      </c>
      <c r="M638" t="str">
        <f>VLOOKUP(C638,Customers!$A$2:$F$1001,3,FALSE())</f>
        <v>South</v>
      </c>
      <c r="N638" t="str">
        <f>VLOOKUP(C638,Customers!$A$2:$F$1001,4,FALSE())</f>
        <v>Consumer</v>
      </c>
    </row>
    <row r="639" spans="1:14" x14ac:dyDescent="0.25">
      <c r="A639">
        <v>638</v>
      </c>
      <c r="B639" t="s">
        <v>2118</v>
      </c>
      <c r="C639" t="s">
        <v>1202</v>
      </c>
      <c r="D639" t="s">
        <v>1816</v>
      </c>
      <c r="E639">
        <v>1</v>
      </c>
      <c r="F639">
        <v>500</v>
      </c>
      <c r="G639">
        <v>500</v>
      </c>
      <c r="H639" s="9">
        <v>0</v>
      </c>
      <c r="I639">
        <v>75.319999999999993</v>
      </c>
      <c r="J639" s="10">
        <f t="shared" si="18"/>
        <v>8</v>
      </c>
      <c r="K639" s="11">
        <f t="shared" si="19"/>
        <v>0.15064</v>
      </c>
      <c r="L639" t="str">
        <f>VLOOKUP(C639,Customers!$A$2:$F$1001,2,FALSE())</f>
        <v>Joshua Lewis</v>
      </c>
      <c r="M639" t="str">
        <f>VLOOKUP(C639,Customers!$A$2:$F$1001,3,FALSE())</f>
        <v>West</v>
      </c>
      <c r="N639" t="str">
        <f>VLOOKUP(C639,Customers!$A$2:$F$1001,4,FALSE())</f>
        <v>Consumer</v>
      </c>
    </row>
    <row r="640" spans="1:14" x14ac:dyDescent="0.25">
      <c r="A640">
        <v>639</v>
      </c>
      <c r="B640" t="s">
        <v>2119</v>
      </c>
      <c r="C640" t="s">
        <v>1203</v>
      </c>
      <c r="D640" t="s">
        <v>1812</v>
      </c>
      <c r="E640">
        <v>4</v>
      </c>
      <c r="F640">
        <v>50</v>
      </c>
      <c r="G640">
        <v>200</v>
      </c>
      <c r="H640" s="9">
        <v>0.15</v>
      </c>
      <c r="I640">
        <v>17.84</v>
      </c>
      <c r="J640" s="10">
        <f t="shared" si="18"/>
        <v>5</v>
      </c>
      <c r="K640" s="11">
        <f t="shared" si="19"/>
        <v>8.9200000000000002E-2</v>
      </c>
      <c r="L640" t="str">
        <f>VLOOKUP(C640,Customers!$A$2:$F$1001,2,FALSE())</f>
        <v>Steven Walker</v>
      </c>
      <c r="M640" t="str">
        <f>VLOOKUP(C640,Customers!$A$2:$F$1001,3,FALSE())</f>
        <v>North</v>
      </c>
      <c r="N640" t="str">
        <f>VLOOKUP(C640,Customers!$A$2:$F$1001,4,FALSE())</f>
        <v>Home Office</v>
      </c>
    </row>
    <row r="641" spans="1:14" x14ac:dyDescent="0.25">
      <c r="A641">
        <v>640</v>
      </c>
      <c r="B641" t="s">
        <v>1912</v>
      </c>
      <c r="C641" t="s">
        <v>1205</v>
      </c>
      <c r="D641" t="s">
        <v>1816</v>
      </c>
      <c r="E641">
        <v>4</v>
      </c>
      <c r="F641">
        <v>30</v>
      </c>
      <c r="G641">
        <v>120</v>
      </c>
      <c r="H641" s="9">
        <v>0.05</v>
      </c>
      <c r="I641">
        <v>15.27</v>
      </c>
      <c r="J641" s="10">
        <f t="shared" si="18"/>
        <v>5</v>
      </c>
      <c r="K641" s="11">
        <f t="shared" si="19"/>
        <v>0.12725</v>
      </c>
      <c r="L641" t="str">
        <f>VLOOKUP(C641,Customers!$A$2:$F$1001,2,FALSE())</f>
        <v>James Wright</v>
      </c>
      <c r="M641" t="str">
        <f>VLOOKUP(C641,Customers!$A$2:$F$1001,3,FALSE())</f>
        <v>East</v>
      </c>
      <c r="N641" t="str">
        <f>VLOOKUP(C641,Customers!$A$2:$F$1001,4,FALSE())</f>
        <v>Consumer</v>
      </c>
    </row>
    <row r="642" spans="1:14" x14ac:dyDescent="0.25">
      <c r="A642">
        <v>641</v>
      </c>
      <c r="B642" t="s">
        <v>2064</v>
      </c>
      <c r="C642" t="s">
        <v>1207</v>
      </c>
      <c r="D642" t="s">
        <v>1816</v>
      </c>
      <c r="E642">
        <v>1</v>
      </c>
      <c r="F642">
        <v>300</v>
      </c>
      <c r="G642">
        <v>300</v>
      </c>
      <c r="H642" s="9">
        <v>0</v>
      </c>
      <c r="I642">
        <v>46.23</v>
      </c>
      <c r="J642" s="10">
        <f t="shared" ref="J642:J705" si="20">MONTH(B642)</f>
        <v>11</v>
      </c>
      <c r="K642" s="11">
        <f t="shared" ref="K642:K705" si="21">IF(G642=0,0,I642/G642)</f>
        <v>0.15409999999999999</v>
      </c>
      <c r="L642" t="str">
        <f>VLOOKUP(C642,Customers!$A$2:$F$1001,2,FALSE())</f>
        <v>Andrew Robinson</v>
      </c>
      <c r="M642" t="str">
        <f>VLOOKUP(C642,Customers!$A$2:$F$1001,3,FALSE())</f>
        <v>East</v>
      </c>
      <c r="N642" t="str">
        <f>VLOOKUP(C642,Customers!$A$2:$F$1001,4,FALSE())</f>
        <v>Corporate</v>
      </c>
    </row>
    <row r="643" spans="1:14" x14ac:dyDescent="0.25">
      <c r="A643">
        <v>642</v>
      </c>
      <c r="B643" t="s">
        <v>2061</v>
      </c>
      <c r="C643" t="s">
        <v>1208</v>
      </c>
      <c r="D643" t="s">
        <v>1814</v>
      </c>
      <c r="E643">
        <v>4</v>
      </c>
      <c r="F643">
        <v>25</v>
      </c>
      <c r="G643">
        <v>100</v>
      </c>
      <c r="H643" s="9">
        <v>0</v>
      </c>
      <c r="I643">
        <v>22.54</v>
      </c>
      <c r="J643" s="10">
        <f t="shared" si="20"/>
        <v>5</v>
      </c>
      <c r="K643" s="11">
        <f t="shared" si="21"/>
        <v>0.22539999999999999</v>
      </c>
      <c r="L643" t="str">
        <f>VLOOKUP(C643,Customers!$A$2:$F$1001,2,FALSE())</f>
        <v>Karen Allen</v>
      </c>
      <c r="M643" t="str">
        <f>VLOOKUP(C643,Customers!$A$2:$F$1001,3,FALSE())</f>
        <v>North</v>
      </c>
      <c r="N643" t="str">
        <f>VLOOKUP(C643,Customers!$A$2:$F$1001,4,FALSE())</f>
        <v>Corporate</v>
      </c>
    </row>
    <row r="644" spans="1:14" x14ac:dyDescent="0.25">
      <c r="A644">
        <v>643</v>
      </c>
      <c r="B644" t="s">
        <v>2086</v>
      </c>
      <c r="C644" t="s">
        <v>1210</v>
      </c>
      <c r="D644" t="s">
        <v>1816</v>
      </c>
      <c r="E644">
        <v>3</v>
      </c>
      <c r="F644">
        <v>30</v>
      </c>
      <c r="G644">
        <v>90</v>
      </c>
      <c r="H644" s="9">
        <v>0.15</v>
      </c>
      <c r="I644">
        <v>-0.01</v>
      </c>
      <c r="J644" s="10">
        <f t="shared" si="20"/>
        <v>9</v>
      </c>
      <c r="K644" s="11">
        <f t="shared" si="21"/>
        <v>-1.1111111111111112E-4</v>
      </c>
      <c r="L644" t="str">
        <f>VLOOKUP(C644,Customers!$A$2:$F$1001,2,FALSE())</f>
        <v>Karen Johnson</v>
      </c>
      <c r="M644" t="str">
        <f>VLOOKUP(C644,Customers!$A$2:$F$1001,3,FALSE())</f>
        <v>South</v>
      </c>
      <c r="N644" t="str">
        <f>VLOOKUP(C644,Customers!$A$2:$F$1001,4,FALSE())</f>
        <v>Corporate</v>
      </c>
    </row>
    <row r="645" spans="1:14" x14ac:dyDescent="0.25">
      <c r="A645">
        <v>644</v>
      </c>
      <c r="B645" t="s">
        <v>1961</v>
      </c>
      <c r="C645" t="s">
        <v>1212</v>
      </c>
      <c r="D645" t="s">
        <v>1812</v>
      </c>
      <c r="E645">
        <v>3</v>
      </c>
      <c r="F645">
        <v>25</v>
      </c>
      <c r="G645">
        <v>75</v>
      </c>
      <c r="H645" s="9">
        <v>0</v>
      </c>
      <c r="I645">
        <v>24.73</v>
      </c>
      <c r="J645" s="10">
        <f t="shared" si="20"/>
        <v>9</v>
      </c>
      <c r="K645" s="11">
        <f t="shared" si="21"/>
        <v>0.32973333333333332</v>
      </c>
      <c r="L645" t="str">
        <f>VLOOKUP(C645,Customers!$A$2:$F$1001,2,FALSE())</f>
        <v>Amanda Martinez</v>
      </c>
      <c r="M645" t="str">
        <f>VLOOKUP(C645,Customers!$A$2:$F$1001,3,FALSE())</f>
        <v>North</v>
      </c>
      <c r="N645" t="str">
        <f>VLOOKUP(C645,Customers!$A$2:$F$1001,4,FALSE())</f>
        <v>Home Office</v>
      </c>
    </row>
    <row r="646" spans="1:14" x14ac:dyDescent="0.25">
      <c r="A646">
        <v>645</v>
      </c>
      <c r="B646" t="s">
        <v>1945</v>
      </c>
      <c r="C646" t="s">
        <v>1214</v>
      </c>
      <c r="D646" t="s">
        <v>1816</v>
      </c>
      <c r="E646">
        <v>4</v>
      </c>
      <c r="F646">
        <v>30</v>
      </c>
      <c r="G646">
        <v>120</v>
      </c>
      <c r="H646" s="9">
        <v>0</v>
      </c>
      <c r="I646">
        <v>15.52</v>
      </c>
      <c r="J646" s="10">
        <f t="shared" si="20"/>
        <v>11</v>
      </c>
      <c r="K646" s="11">
        <f t="shared" si="21"/>
        <v>0.12933333333333333</v>
      </c>
      <c r="L646" t="str">
        <f>VLOOKUP(C646,Customers!$A$2:$F$1001,2,FALSE())</f>
        <v>Jennifer Harris</v>
      </c>
      <c r="M646" t="str">
        <f>VLOOKUP(C646,Customers!$A$2:$F$1001,3,FALSE())</f>
        <v>North</v>
      </c>
      <c r="N646" t="str">
        <f>VLOOKUP(C646,Customers!$A$2:$F$1001,4,FALSE())</f>
        <v>Consumer</v>
      </c>
    </row>
    <row r="647" spans="1:14" x14ac:dyDescent="0.25">
      <c r="A647">
        <v>646</v>
      </c>
      <c r="B647" t="s">
        <v>1957</v>
      </c>
      <c r="C647" t="s">
        <v>1216</v>
      </c>
      <c r="D647" t="s">
        <v>1814</v>
      </c>
      <c r="E647">
        <v>3</v>
      </c>
      <c r="F647">
        <v>30</v>
      </c>
      <c r="G647">
        <v>90</v>
      </c>
      <c r="H647" s="9">
        <v>0.15</v>
      </c>
      <c r="I647">
        <v>7.27</v>
      </c>
      <c r="J647" s="10">
        <f t="shared" si="20"/>
        <v>5</v>
      </c>
      <c r="K647" s="11">
        <f t="shared" si="21"/>
        <v>8.0777777777777768E-2</v>
      </c>
      <c r="L647" t="str">
        <f>VLOOKUP(C647,Customers!$A$2:$F$1001,2,FALSE())</f>
        <v>Barbara Wright</v>
      </c>
      <c r="M647" t="str">
        <f>VLOOKUP(C647,Customers!$A$2:$F$1001,3,FALSE())</f>
        <v>South</v>
      </c>
      <c r="N647" t="str">
        <f>VLOOKUP(C647,Customers!$A$2:$F$1001,4,FALSE())</f>
        <v>Home Office</v>
      </c>
    </row>
    <row r="648" spans="1:14" x14ac:dyDescent="0.25">
      <c r="A648">
        <v>647</v>
      </c>
      <c r="B648" t="s">
        <v>1817</v>
      </c>
      <c r="C648" t="s">
        <v>1218</v>
      </c>
      <c r="D648" t="s">
        <v>1814</v>
      </c>
      <c r="E648">
        <v>3</v>
      </c>
      <c r="F648">
        <v>500</v>
      </c>
      <c r="G648">
        <v>1500</v>
      </c>
      <c r="H648" s="9">
        <v>0.05</v>
      </c>
      <c r="I648">
        <v>365.15</v>
      </c>
      <c r="J648" s="10">
        <f t="shared" si="20"/>
        <v>5</v>
      </c>
      <c r="K648" s="11">
        <f t="shared" si="21"/>
        <v>0.24343333333333331</v>
      </c>
      <c r="L648" t="str">
        <f>VLOOKUP(C648,Customers!$A$2:$F$1001,2,FALSE())</f>
        <v>Daniel Smith</v>
      </c>
      <c r="M648" t="str">
        <f>VLOOKUP(C648,Customers!$A$2:$F$1001,3,FALSE())</f>
        <v>South</v>
      </c>
      <c r="N648" t="str">
        <f>VLOOKUP(C648,Customers!$A$2:$F$1001,4,FALSE())</f>
        <v>Corporate</v>
      </c>
    </row>
    <row r="649" spans="1:14" x14ac:dyDescent="0.25">
      <c r="A649">
        <v>648</v>
      </c>
      <c r="B649" t="s">
        <v>2120</v>
      </c>
      <c r="C649" t="s">
        <v>1220</v>
      </c>
      <c r="D649" t="s">
        <v>1812</v>
      </c>
      <c r="E649">
        <v>4</v>
      </c>
      <c r="F649">
        <v>300</v>
      </c>
      <c r="G649">
        <v>1200</v>
      </c>
      <c r="H649" s="9">
        <v>0.05</v>
      </c>
      <c r="I649">
        <v>406.45</v>
      </c>
      <c r="J649" s="10">
        <f t="shared" si="20"/>
        <v>8</v>
      </c>
      <c r="K649" s="11">
        <f t="shared" si="21"/>
        <v>0.33870833333333333</v>
      </c>
      <c r="L649" t="str">
        <f>VLOOKUP(C649,Customers!$A$2:$F$1001,2,FALSE())</f>
        <v>Melissa Lee</v>
      </c>
      <c r="M649" t="str">
        <f>VLOOKUP(C649,Customers!$A$2:$F$1001,3,FALSE())</f>
        <v>West</v>
      </c>
      <c r="N649" t="str">
        <f>VLOOKUP(C649,Customers!$A$2:$F$1001,4,FALSE())</f>
        <v>Corporate</v>
      </c>
    </row>
    <row r="650" spans="1:14" x14ac:dyDescent="0.25">
      <c r="A650">
        <v>649</v>
      </c>
      <c r="B650" t="s">
        <v>2121</v>
      </c>
      <c r="C650" t="s">
        <v>1222</v>
      </c>
      <c r="D650" t="s">
        <v>1814</v>
      </c>
      <c r="E650">
        <v>2</v>
      </c>
      <c r="F650">
        <v>300</v>
      </c>
      <c r="G650">
        <v>600</v>
      </c>
      <c r="H650" s="9">
        <v>0</v>
      </c>
      <c r="I650">
        <v>156.47</v>
      </c>
      <c r="J650" s="10">
        <f t="shared" si="20"/>
        <v>2</v>
      </c>
      <c r="K650" s="11">
        <f t="shared" si="21"/>
        <v>0.26078333333333331</v>
      </c>
      <c r="L650" t="str">
        <f>VLOOKUP(C650,Customers!$A$2:$F$1001,2,FALSE())</f>
        <v>Susan Ramirez</v>
      </c>
      <c r="M650" t="str">
        <f>VLOOKUP(C650,Customers!$A$2:$F$1001,3,FALSE())</f>
        <v>West</v>
      </c>
      <c r="N650" t="str">
        <f>VLOOKUP(C650,Customers!$A$2:$F$1001,4,FALSE())</f>
        <v>Corporate</v>
      </c>
    </row>
    <row r="651" spans="1:14" x14ac:dyDescent="0.25">
      <c r="A651">
        <v>650</v>
      </c>
      <c r="B651" t="s">
        <v>1972</v>
      </c>
      <c r="C651" t="s">
        <v>1224</v>
      </c>
      <c r="D651" t="s">
        <v>1816</v>
      </c>
      <c r="E651">
        <v>1</v>
      </c>
      <c r="F651">
        <v>30</v>
      </c>
      <c r="G651">
        <v>30</v>
      </c>
      <c r="H651" s="9">
        <v>0.15</v>
      </c>
      <c r="I651">
        <v>-0.48</v>
      </c>
      <c r="J651" s="10">
        <f t="shared" si="20"/>
        <v>1</v>
      </c>
      <c r="K651" s="11">
        <f t="shared" si="21"/>
        <v>-1.6E-2</v>
      </c>
      <c r="L651" t="str">
        <f>VLOOKUP(C651,Customers!$A$2:$F$1001,2,FALSE())</f>
        <v>Anthony Johnson</v>
      </c>
      <c r="M651" t="str">
        <f>VLOOKUP(C651,Customers!$A$2:$F$1001,3,FALSE())</f>
        <v>West</v>
      </c>
      <c r="N651" t="str">
        <f>VLOOKUP(C651,Customers!$A$2:$F$1001,4,FALSE())</f>
        <v>Home Office</v>
      </c>
    </row>
    <row r="652" spans="1:14" x14ac:dyDescent="0.25">
      <c r="A652">
        <v>651</v>
      </c>
      <c r="B652" t="s">
        <v>2017</v>
      </c>
      <c r="C652" t="s">
        <v>1225</v>
      </c>
      <c r="D652" t="s">
        <v>1814</v>
      </c>
      <c r="E652">
        <v>3</v>
      </c>
      <c r="F652">
        <v>50</v>
      </c>
      <c r="G652">
        <v>150</v>
      </c>
      <c r="H652" s="9">
        <v>0</v>
      </c>
      <c r="I652">
        <v>41.06</v>
      </c>
      <c r="J652" s="10">
        <f t="shared" si="20"/>
        <v>5</v>
      </c>
      <c r="K652" s="11">
        <f t="shared" si="21"/>
        <v>0.27373333333333333</v>
      </c>
      <c r="L652" t="str">
        <f>VLOOKUP(C652,Customers!$A$2:$F$1001,2,FALSE())</f>
        <v>Donna Taylor</v>
      </c>
      <c r="M652" t="str">
        <f>VLOOKUP(C652,Customers!$A$2:$F$1001,3,FALSE())</f>
        <v>North</v>
      </c>
      <c r="N652" t="str">
        <f>VLOOKUP(C652,Customers!$A$2:$F$1001,4,FALSE())</f>
        <v>Home Office</v>
      </c>
    </row>
    <row r="653" spans="1:14" x14ac:dyDescent="0.25">
      <c r="A653">
        <v>652</v>
      </c>
      <c r="B653" t="s">
        <v>2031</v>
      </c>
      <c r="C653" t="s">
        <v>1226</v>
      </c>
      <c r="D653" t="s">
        <v>1812</v>
      </c>
      <c r="E653">
        <v>2</v>
      </c>
      <c r="F653">
        <v>50</v>
      </c>
      <c r="G653">
        <v>100</v>
      </c>
      <c r="H653" s="9">
        <v>0</v>
      </c>
      <c r="I653">
        <v>31.23</v>
      </c>
      <c r="J653" s="10">
        <f t="shared" si="20"/>
        <v>5</v>
      </c>
      <c r="K653" s="11">
        <f t="shared" si="21"/>
        <v>0.31230000000000002</v>
      </c>
      <c r="L653" t="str">
        <f>VLOOKUP(C653,Customers!$A$2:$F$1001,2,FALSE())</f>
        <v>Paul Scott</v>
      </c>
      <c r="M653" t="str">
        <f>VLOOKUP(C653,Customers!$A$2:$F$1001,3,FALSE())</f>
        <v>North</v>
      </c>
      <c r="N653" t="str">
        <f>VLOOKUP(C653,Customers!$A$2:$F$1001,4,FALSE())</f>
        <v>Consumer</v>
      </c>
    </row>
    <row r="654" spans="1:14" x14ac:dyDescent="0.25">
      <c r="A654">
        <v>653</v>
      </c>
      <c r="B654" t="s">
        <v>2055</v>
      </c>
      <c r="C654" t="s">
        <v>1227</v>
      </c>
      <c r="D654" t="s">
        <v>1814</v>
      </c>
      <c r="E654">
        <v>3</v>
      </c>
      <c r="F654">
        <v>25</v>
      </c>
      <c r="G654">
        <v>75</v>
      </c>
      <c r="H654" s="9">
        <v>0.05</v>
      </c>
      <c r="I654">
        <v>15.7</v>
      </c>
      <c r="J654" s="10">
        <f t="shared" si="20"/>
        <v>5</v>
      </c>
      <c r="K654" s="11">
        <f t="shared" si="21"/>
        <v>0.20933333333333332</v>
      </c>
      <c r="L654" t="str">
        <f>VLOOKUP(C654,Customers!$A$2:$F$1001,2,FALSE())</f>
        <v>Donald Clark</v>
      </c>
      <c r="M654" t="str">
        <f>VLOOKUP(C654,Customers!$A$2:$F$1001,3,FALSE())</f>
        <v>North</v>
      </c>
      <c r="N654" t="str">
        <f>VLOOKUP(C654,Customers!$A$2:$F$1001,4,FALSE())</f>
        <v>Home Office</v>
      </c>
    </row>
    <row r="655" spans="1:14" x14ac:dyDescent="0.25">
      <c r="A655">
        <v>654</v>
      </c>
      <c r="B655" t="s">
        <v>2102</v>
      </c>
      <c r="C655" t="s">
        <v>1229</v>
      </c>
      <c r="D655" t="s">
        <v>1814</v>
      </c>
      <c r="E655">
        <v>3</v>
      </c>
      <c r="F655">
        <v>25</v>
      </c>
      <c r="G655">
        <v>75</v>
      </c>
      <c r="H655" s="9">
        <v>0</v>
      </c>
      <c r="I655">
        <v>17.100000000000001</v>
      </c>
      <c r="J655" s="10">
        <f t="shared" si="20"/>
        <v>6</v>
      </c>
      <c r="K655" s="11">
        <f t="shared" si="21"/>
        <v>0.22800000000000001</v>
      </c>
      <c r="L655" t="str">
        <f>VLOOKUP(C655,Customers!$A$2:$F$1001,2,FALSE())</f>
        <v>Richard Martinez</v>
      </c>
      <c r="M655" t="str">
        <f>VLOOKUP(C655,Customers!$A$2:$F$1001,3,FALSE())</f>
        <v>North</v>
      </c>
      <c r="N655" t="str">
        <f>VLOOKUP(C655,Customers!$A$2:$F$1001,4,FALSE())</f>
        <v>Corporate</v>
      </c>
    </row>
    <row r="656" spans="1:14" x14ac:dyDescent="0.25">
      <c r="A656">
        <v>655</v>
      </c>
      <c r="B656" t="s">
        <v>2122</v>
      </c>
      <c r="C656" t="s">
        <v>1230</v>
      </c>
      <c r="D656" t="s">
        <v>1814</v>
      </c>
      <c r="E656">
        <v>1</v>
      </c>
      <c r="F656">
        <v>500</v>
      </c>
      <c r="G656">
        <v>500</v>
      </c>
      <c r="H656" s="9">
        <v>0.05</v>
      </c>
      <c r="I656">
        <v>99.78</v>
      </c>
      <c r="J656" s="10">
        <f t="shared" si="20"/>
        <v>6</v>
      </c>
      <c r="K656" s="11">
        <f t="shared" si="21"/>
        <v>0.19956000000000002</v>
      </c>
      <c r="L656" t="str">
        <f>VLOOKUP(C656,Customers!$A$2:$F$1001,2,FALSE())</f>
        <v>Christopher Wright</v>
      </c>
      <c r="M656" t="str">
        <f>VLOOKUP(C656,Customers!$A$2:$F$1001,3,FALSE())</f>
        <v>West</v>
      </c>
      <c r="N656" t="str">
        <f>VLOOKUP(C656,Customers!$A$2:$F$1001,4,FALSE())</f>
        <v>Consumer</v>
      </c>
    </row>
    <row r="657" spans="1:14" x14ac:dyDescent="0.25">
      <c r="A657">
        <v>656</v>
      </c>
      <c r="B657" t="s">
        <v>1949</v>
      </c>
      <c r="C657" t="s">
        <v>1232</v>
      </c>
      <c r="D657" t="s">
        <v>1812</v>
      </c>
      <c r="E657">
        <v>3</v>
      </c>
      <c r="F657">
        <v>30</v>
      </c>
      <c r="G657">
        <v>90</v>
      </c>
      <c r="H657" s="9">
        <v>0</v>
      </c>
      <c r="I657">
        <v>30.89</v>
      </c>
      <c r="J657" s="10">
        <f t="shared" si="20"/>
        <v>10</v>
      </c>
      <c r="K657" s="11">
        <f t="shared" si="21"/>
        <v>0.34322222222222221</v>
      </c>
      <c r="L657" t="str">
        <f>VLOOKUP(C657,Customers!$A$2:$F$1001,2,FALSE())</f>
        <v>Anthony Wilson</v>
      </c>
      <c r="M657" t="str">
        <f>VLOOKUP(C657,Customers!$A$2:$F$1001,3,FALSE())</f>
        <v>South</v>
      </c>
      <c r="N657" t="str">
        <f>VLOOKUP(C657,Customers!$A$2:$F$1001,4,FALSE())</f>
        <v>Home Office</v>
      </c>
    </row>
    <row r="658" spans="1:14" x14ac:dyDescent="0.25">
      <c r="A658">
        <v>657</v>
      </c>
      <c r="B658" t="s">
        <v>2027</v>
      </c>
      <c r="C658" t="s">
        <v>1234</v>
      </c>
      <c r="D658" t="s">
        <v>1814</v>
      </c>
      <c r="E658">
        <v>1</v>
      </c>
      <c r="F658">
        <v>25</v>
      </c>
      <c r="G658">
        <v>25</v>
      </c>
      <c r="H658" s="9">
        <v>0</v>
      </c>
      <c r="I658">
        <v>6.63</v>
      </c>
      <c r="J658" s="10">
        <f t="shared" si="20"/>
        <v>2</v>
      </c>
      <c r="K658" s="11">
        <f t="shared" si="21"/>
        <v>0.26519999999999999</v>
      </c>
      <c r="L658" t="str">
        <f>VLOOKUP(C658,Customers!$A$2:$F$1001,2,FALSE())</f>
        <v>Joshua Wright</v>
      </c>
      <c r="M658" t="str">
        <f>VLOOKUP(C658,Customers!$A$2:$F$1001,3,FALSE())</f>
        <v>North</v>
      </c>
      <c r="N658" t="str">
        <f>VLOOKUP(C658,Customers!$A$2:$F$1001,4,FALSE())</f>
        <v>Consumer</v>
      </c>
    </row>
    <row r="659" spans="1:14" x14ac:dyDescent="0.25">
      <c r="A659">
        <v>658</v>
      </c>
      <c r="B659" t="s">
        <v>1919</v>
      </c>
      <c r="C659" t="s">
        <v>1236</v>
      </c>
      <c r="D659" t="s">
        <v>1814</v>
      </c>
      <c r="E659">
        <v>1</v>
      </c>
      <c r="F659">
        <v>25</v>
      </c>
      <c r="G659">
        <v>25</v>
      </c>
      <c r="H659" s="9">
        <v>0.05</v>
      </c>
      <c r="I659">
        <v>4.84</v>
      </c>
      <c r="J659" s="10">
        <f t="shared" si="20"/>
        <v>3</v>
      </c>
      <c r="K659" s="11">
        <f t="shared" si="21"/>
        <v>0.19359999999999999</v>
      </c>
      <c r="L659" t="str">
        <f>VLOOKUP(C659,Customers!$A$2:$F$1001,2,FALSE())</f>
        <v>Amanda Lopez</v>
      </c>
      <c r="M659" t="str">
        <f>VLOOKUP(C659,Customers!$A$2:$F$1001,3,FALSE())</f>
        <v>West</v>
      </c>
      <c r="N659" t="str">
        <f>VLOOKUP(C659,Customers!$A$2:$F$1001,4,FALSE())</f>
        <v>Corporate</v>
      </c>
    </row>
    <row r="660" spans="1:14" x14ac:dyDescent="0.25">
      <c r="A660">
        <v>659</v>
      </c>
      <c r="B660" t="s">
        <v>2123</v>
      </c>
      <c r="C660" t="s">
        <v>1237</v>
      </c>
      <c r="D660" t="s">
        <v>1816</v>
      </c>
      <c r="E660">
        <v>1</v>
      </c>
      <c r="F660">
        <v>30</v>
      </c>
      <c r="G660">
        <v>30</v>
      </c>
      <c r="H660" s="9">
        <v>0.15</v>
      </c>
      <c r="I660">
        <v>-1.5</v>
      </c>
      <c r="J660" s="10">
        <f t="shared" si="20"/>
        <v>3</v>
      </c>
      <c r="K660" s="11">
        <f t="shared" si="21"/>
        <v>-0.05</v>
      </c>
      <c r="L660" t="str">
        <f>VLOOKUP(C660,Customers!$A$2:$F$1001,2,FALSE())</f>
        <v>Emily White</v>
      </c>
      <c r="M660" t="str">
        <f>VLOOKUP(C660,Customers!$A$2:$F$1001,3,FALSE())</f>
        <v>South</v>
      </c>
      <c r="N660" t="str">
        <f>VLOOKUP(C660,Customers!$A$2:$F$1001,4,FALSE())</f>
        <v>Consumer</v>
      </c>
    </row>
    <row r="661" spans="1:14" x14ac:dyDescent="0.25">
      <c r="A661">
        <v>660</v>
      </c>
      <c r="B661" t="s">
        <v>2124</v>
      </c>
      <c r="C661" t="s">
        <v>1239</v>
      </c>
      <c r="D661" t="s">
        <v>1812</v>
      </c>
      <c r="E661">
        <v>2</v>
      </c>
      <c r="F661">
        <v>500</v>
      </c>
      <c r="G661">
        <v>1000</v>
      </c>
      <c r="H661" s="9">
        <v>0</v>
      </c>
      <c r="I661">
        <v>355.37</v>
      </c>
      <c r="J661" s="10">
        <f t="shared" si="20"/>
        <v>4</v>
      </c>
      <c r="K661" s="11">
        <f t="shared" si="21"/>
        <v>0.35537000000000002</v>
      </c>
      <c r="L661" t="str">
        <f>VLOOKUP(C661,Customers!$A$2:$F$1001,2,FALSE())</f>
        <v>Daniel Thomas</v>
      </c>
      <c r="M661" t="str">
        <f>VLOOKUP(C661,Customers!$A$2:$F$1001,3,FALSE())</f>
        <v>North</v>
      </c>
      <c r="N661" t="str">
        <f>VLOOKUP(C661,Customers!$A$2:$F$1001,4,FALSE())</f>
        <v>Consumer</v>
      </c>
    </row>
    <row r="662" spans="1:14" x14ac:dyDescent="0.25">
      <c r="A662">
        <v>661</v>
      </c>
      <c r="B662" t="s">
        <v>2109</v>
      </c>
      <c r="C662" t="s">
        <v>1241</v>
      </c>
      <c r="D662" t="s">
        <v>1814</v>
      </c>
      <c r="E662">
        <v>4</v>
      </c>
      <c r="F662">
        <v>25</v>
      </c>
      <c r="G662">
        <v>100</v>
      </c>
      <c r="H662" s="9">
        <v>0</v>
      </c>
      <c r="I662">
        <v>26.93</v>
      </c>
      <c r="J662" s="10">
        <f t="shared" si="20"/>
        <v>7</v>
      </c>
      <c r="K662" s="11">
        <f t="shared" si="21"/>
        <v>0.26929999999999998</v>
      </c>
      <c r="L662" t="str">
        <f>VLOOKUP(C662,Customers!$A$2:$F$1001,2,FALSE())</f>
        <v>Jennifer Hernandez</v>
      </c>
      <c r="M662" t="str">
        <f>VLOOKUP(C662,Customers!$A$2:$F$1001,3,FALSE())</f>
        <v>North</v>
      </c>
      <c r="N662" t="str">
        <f>VLOOKUP(C662,Customers!$A$2:$F$1001,4,FALSE())</f>
        <v>Home Office</v>
      </c>
    </row>
    <row r="663" spans="1:14" x14ac:dyDescent="0.25">
      <c r="A663">
        <v>662</v>
      </c>
      <c r="B663" t="s">
        <v>2125</v>
      </c>
      <c r="C663" t="s">
        <v>1243</v>
      </c>
      <c r="D663" t="s">
        <v>1812</v>
      </c>
      <c r="E663">
        <v>2</v>
      </c>
      <c r="F663">
        <v>500</v>
      </c>
      <c r="G663">
        <v>1000</v>
      </c>
      <c r="H663" s="9">
        <v>0.2</v>
      </c>
      <c r="I663">
        <v>123.38</v>
      </c>
      <c r="J663" s="10">
        <f t="shared" si="20"/>
        <v>12</v>
      </c>
      <c r="K663" s="11">
        <f t="shared" si="21"/>
        <v>0.12337999999999999</v>
      </c>
      <c r="L663" t="str">
        <f>VLOOKUP(C663,Customers!$A$2:$F$1001,2,FALSE())</f>
        <v>Betty Scott</v>
      </c>
      <c r="M663" t="str">
        <f>VLOOKUP(C663,Customers!$A$2:$F$1001,3,FALSE())</f>
        <v>East</v>
      </c>
      <c r="N663" t="str">
        <f>VLOOKUP(C663,Customers!$A$2:$F$1001,4,FALSE())</f>
        <v>Consumer</v>
      </c>
    </row>
    <row r="664" spans="1:14" x14ac:dyDescent="0.25">
      <c r="A664">
        <v>663</v>
      </c>
      <c r="B664" t="s">
        <v>1925</v>
      </c>
      <c r="C664" t="s">
        <v>1244</v>
      </c>
      <c r="D664" t="s">
        <v>1814</v>
      </c>
      <c r="E664">
        <v>4</v>
      </c>
      <c r="F664">
        <v>300</v>
      </c>
      <c r="G664">
        <v>1200</v>
      </c>
      <c r="H664" s="9">
        <v>0.2</v>
      </c>
      <c r="I664">
        <v>8.31</v>
      </c>
      <c r="J664" s="10">
        <f t="shared" si="20"/>
        <v>3</v>
      </c>
      <c r="K664" s="11">
        <f t="shared" si="21"/>
        <v>6.9250000000000006E-3</v>
      </c>
      <c r="L664" t="str">
        <f>VLOOKUP(C664,Customers!$A$2:$F$1001,2,FALSE())</f>
        <v>Carol Davis</v>
      </c>
      <c r="M664" t="str">
        <f>VLOOKUP(C664,Customers!$A$2:$F$1001,3,FALSE())</f>
        <v>West</v>
      </c>
      <c r="N664" t="str">
        <f>VLOOKUP(C664,Customers!$A$2:$F$1001,4,FALSE())</f>
        <v>Consumer</v>
      </c>
    </row>
    <row r="665" spans="1:14" x14ac:dyDescent="0.25">
      <c r="A665">
        <v>664</v>
      </c>
      <c r="B665" t="s">
        <v>2065</v>
      </c>
      <c r="C665" t="s">
        <v>1246</v>
      </c>
      <c r="D665" t="s">
        <v>1814</v>
      </c>
      <c r="E665">
        <v>4</v>
      </c>
      <c r="F665">
        <v>500</v>
      </c>
      <c r="G665">
        <v>2000</v>
      </c>
      <c r="H665" s="9">
        <v>0.1</v>
      </c>
      <c r="I665">
        <v>358.53</v>
      </c>
      <c r="J665" s="10">
        <f t="shared" si="20"/>
        <v>12</v>
      </c>
      <c r="K665" s="11">
        <f t="shared" si="21"/>
        <v>0.17926499999999998</v>
      </c>
      <c r="L665" t="str">
        <f>VLOOKUP(C665,Customers!$A$2:$F$1001,2,FALSE())</f>
        <v>Kimberly Brown</v>
      </c>
      <c r="M665" t="str">
        <f>VLOOKUP(C665,Customers!$A$2:$F$1001,3,FALSE())</f>
        <v>North</v>
      </c>
      <c r="N665" t="str">
        <f>VLOOKUP(C665,Customers!$A$2:$F$1001,4,FALSE())</f>
        <v>Consumer</v>
      </c>
    </row>
    <row r="666" spans="1:14" x14ac:dyDescent="0.25">
      <c r="A666">
        <v>665</v>
      </c>
      <c r="B666" t="s">
        <v>1989</v>
      </c>
      <c r="C666" t="s">
        <v>1248</v>
      </c>
      <c r="D666" t="s">
        <v>1814</v>
      </c>
      <c r="E666">
        <v>1</v>
      </c>
      <c r="F666">
        <v>50</v>
      </c>
      <c r="G666">
        <v>50</v>
      </c>
      <c r="H666" s="9">
        <v>0</v>
      </c>
      <c r="I666">
        <v>12.97</v>
      </c>
      <c r="J666" s="10">
        <f t="shared" si="20"/>
        <v>4</v>
      </c>
      <c r="K666" s="11">
        <f t="shared" si="21"/>
        <v>0.25940000000000002</v>
      </c>
      <c r="L666" t="str">
        <f>VLOOKUP(C666,Customers!$A$2:$F$1001,2,FALSE())</f>
        <v>Kimberly Wilson</v>
      </c>
      <c r="M666" t="str">
        <f>VLOOKUP(C666,Customers!$A$2:$F$1001,3,FALSE())</f>
        <v>West</v>
      </c>
      <c r="N666" t="str">
        <f>VLOOKUP(C666,Customers!$A$2:$F$1001,4,FALSE())</f>
        <v>Consumer</v>
      </c>
    </row>
    <row r="667" spans="1:14" x14ac:dyDescent="0.25">
      <c r="A667">
        <v>666</v>
      </c>
      <c r="B667" t="s">
        <v>1928</v>
      </c>
      <c r="C667" t="s">
        <v>1250</v>
      </c>
      <c r="D667" t="s">
        <v>1816</v>
      </c>
      <c r="E667">
        <v>3</v>
      </c>
      <c r="F667">
        <v>50</v>
      </c>
      <c r="G667">
        <v>150</v>
      </c>
      <c r="H667" s="9">
        <v>0.05</v>
      </c>
      <c r="I667">
        <v>15.47</v>
      </c>
      <c r="J667" s="10">
        <f t="shared" si="20"/>
        <v>2</v>
      </c>
      <c r="K667" s="11">
        <f t="shared" si="21"/>
        <v>0.10313333333333334</v>
      </c>
      <c r="L667" t="str">
        <f>VLOOKUP(C667,Customers!$A$2:$F$1001,2,FALSE())</f>
        <v>Daniel Lewis</v>
      </c>
      <c r="M667" t="str">
        <f>VLOOKUP(C667,Customers!$A$2:$F$1001,3,FALSE())</f>
        <v>West</v>
      </c>
      <c r="N667" t="str">
        <f>VLOOKUP(C667,Customers!$A$2:$F$1001,4,FALSE())</f>
        <v>Home Office</v>
      </c>
    </row>
    <row r="668" spans="1:14" x14ac:dyDescent="0.25">
      <c r="A668">
        <v>667</v>
      </c>
      <c r="B668" t="s">
        <v>2105</v>
      </c>
      <c r="C668" t="s">
        <v>1251</v>
      </c>
      <c r="D668" t="s">
        <v>1816</v>
      </c>
      <c r="E668">
        <v>1</v>
      </c>
      <c r="F668">
        <v>500</v>
      </c>
      <c r="G668">
        <v>500</v>
      </c>
      <c r="H668" s="9">
        <v>0</v>
      </c>
      <c r="I668">
        <v>90.67</v>
      </c>
      <c r="J668" s="10">
        <f t="shared" si="20"/>
        <v>8</v>
      </c>
      <c r="K668" s="11">
        <f t="shared" si="21"/>
        <v>0.18134</v>
      </c>
      <c r="L668" t="str">
        <f>VLOOKUP(C668,Customers!$A$2:$F$1001,2,FALSE())</f>
        <v>Nancy Allen</v>
      </c>
      <c r="M668" t="str">
        <f>VLOOKUP(C668,Customers!$A$2:$F$1001,3,FALSE())</f>
        <v>West</v>
      </c>
      <c r="N668" t="str">
        <f>VLOOKUP(C668,Customers!$A$2:$F$1001,4,FALSE())</f>
        <v>Home Office</v>
      </c>
    </row>
    <row r="669" spans="1:14" x14ac:dyDescent="0.25">
      <c r="A669">
        <v>668</v>
      </c>
      <c r="B669" t="s">
        <v>1994</v>
      </c>
      <c r="C669" t="s">
        <v>1252</v>
      </c>
      <c r="D669" t="s">
        <v>1816</v>
      </c>
      <c r="E669">
        <v>3</v>
      </c>
      <c r="F669">
        <v>50</v>
      </c>
      <c r="G669">
        <v>150</v>
      </c>
      <c r="H669" s="9">
        <v>0</v>
      </c>
      <c r="I669">
        <v>24.13</v>
      </c>
      <c r="J669" s="10">
        <f t="shared" si="20"/>
        <v>7</v>
      </c>
      <c r="K669" s="11">
        <f t="shared" si="21"/>
        <v>0.16086666666666666</v>
      </c>
      <c r="L669" t="str">
        <f>VLOOKUP(C669,Customers!$A$2:$F$1001,2,FALSE())</f>
        <v>Anthony Flores</v>
      </c>
      <c r="M669" t="str">
        <f>VLOOKUP(C669,Customers!$A$2:$F$1001,3,FALSE())</f>
        <v>North</v>
      </c>
      <c r="N669" t="str">
        <f>VLOOKUP(C669,Customers!$A$2:$F$1001,4,FALSE())</f>
        <v>Consumer</v>
      </c>
    </row>
    <row r="670" spans="1:14" x14ac:dyDescent="0.25">
      <c r="A670">
        <v>669</v>
      </c>
      <c r="B670" t="s">
        <v>1985</v>
      </c>
      <c r="C670" t="s">
        <v>1253</v>
      </c>
      <c r="D670" t="s">
        <v>1812</v>
      </c>
      <c r="E670">
        <v>4</v>
      </c>
      <c r="F670">
        <v>300</v>
      </c>
      <c r="G670">
        <v>1200</v>
      </c>
      <c r="H670" s="9">
        <v>0.05</v>
      </c>
      <c r="I670">
        <v>315.67</v>
      </c>
      <c r="J670" s="10">
        <f t="shared" si="20"/>
        <v>6</v>
      </c>
      <c r="K670" s="11">
        <f t="shared" si="21"/>
        <v>0.26305833333333334</v>
      </c>
      <c r="L670" t="str">
        <f>VLOOKUP(C670,Customers!$A$2:$F$1001,2,FALSE())</f>
        <v>Ashley Lopez</v>
      </c>
      <c r="M670" t="str">
        <f>VLOOKUP(C670,Customers!$A$2:$F$1001,3,FALSE())</f>
        <v>North</v>
      </c>
      <c r="N670" t="str">
        <f>VLOOKUP(C670,Customers!$A$2:$F$1001,4,FALSE())</f>
        <v>Corporate</v>
      </c>
    </row>
    <row r="671" spans="1:14" x14ac:dyDescent="0.25">
      <c r="A671">
        <v>670</v>
      </c>
      <c r="B671" t="s">
        <v>2023</v>
      </c>
      <c r="C671" t="s">
        <v>1254</v>
      </c>
      <c r="D671" t="s">
        <v>1812</v>
      </c>
      <c r="E671">
        <v>1</v>
      </c>
      <c r="F671">
        <v>30</v>
      </c>
      <c r="G671">
        <v>30</v>
      </c>
      <c r="H671" s="9">
        <v>0.1</v>
      </c>
      <c r="I671">
        <v>4.71</v>
      </c>
      <c r="J671" s="10">
        <f t="shared" si="20"/>
        <v>10</v>
      </c>
      <c r="K671" s="11">
        <f t="shared" si="21"/>
        <v>0.157</v>
      </c>
      <c r="L671" t="str">
        <f>VLOOKUP(C671,Customers!$A$2:$F$1001,2,FALSE())</f>
        <v>Joshua Taylor</v>
      </c>
      <c r="M671" t="str">
        <f>VLOOKUP(C671,Customers!$A$2:$F$1001,3,FALSE())</f>
        <v>West</v>
      </c>
      <c r="N671" t="str">
        <f>VLOOKUP(C671,Customers!$A$2:$F$1001,4,FALSE())</f>
        <v>Consumer</v>
      </c>
    </row>
    <row r="672" spans="1:14" x14ac:dyDescent="0.25">
      <c r="A672">
        <v>671</v>
      </c>
      <c r="B672" t="s">
        <v>2100</v>
      </c>
      <c r="C672" t="s">
        <v>1256</v>
      </c>
      <c r="D672" t="s">
        <v>1816</v>
      </c>
      <c r="E672">
        <v>3</v>
      </c>
      <c r="F672">
        <v>50</v>
      </c>
      <c r="G672">
        <v>150</v>
      </c>
      <c r="H672" s="9">
        <v>0.05</v>
      </c>
      <c r="I672">
        <v>11.35</v>
      </c>
      <c r="J672" s="10">
        <f t="shared" si="20"/>
        <v>8</v>
      </c>
      <c r="K672" s="11">
        <f t="shared" si="21"/>
        <v>7.566666666666666E-2</v>
      </c>
      <c r="L672" t="str">
        <f>VLOOKUP(C672,Customers!$A$2:$F$1001,2,FALSE())</f>
        <v>Anthony Garcia</v>
      </c>
      <c r="M672" t="str">
        <f>VLOOKUP(C672,Customers!$A$2:$F$1001,3,FALSE())</f>
        <v>South</v>
      </c>
      <c r="N672" t="str">
        <f>VLOOKUP(C672,Customers!$A$2:$F$1001,4,FALSE())</f>
        <v>Corporate</v>
      </c>
    </row>
    <row r="673" spans="1:14" x14ac:dyDescent="0.25">
      <c r="A673">
        <v>672</v>
      </c>
      <c r="B673" t="s">
        <v>2105</v>
      </c>
      <c r="C673" t="s">
        <v>1258</v>
      </c>
      <c r="D673" t="s">
        <v>1812</v>
      </c>
      <c r="E673">
        <v>2</v>
      </c>
      <c r="F673">
        <v>50</v>
      </c>
      <c r="G673">
        <v>100</v>
      </c>
      <c r="H673" s="9">
        <v>0.1</v>
      </c>
      <c r="I673">
        <v>25.28</v>
      </c>
      <c r="J673" s="10">
        <f t="shared" si="20"/>
        <v>8</v>
      </c>
      <c r="K673" s="11">
        <f t="shared" si="21"/>
        <v>0.25280000000000002</v>
      </c>
      <c r="L673" t="str">
        <f>VLOOKUP(C673,Customers!$A$2:$F$1001,2,FALSE())</f>
        <v>Jennifer Thompson</v>
      </c>
      <c r="M673" t="str">
        <f>VLOOKUP(C673,Customers!$A$2:$F$1001,3,FALSE())</f>
        <v>East</v>
      </c>
      <c r="N673" t="str">
        <f>VLOOKUP(C673,Customers!$A$2:$F$1001,4,FALSE())</f>
        <v>Consumer</v>
      </c>
    </row>
    <row r="674" spans="1:14" x14ac:dyDescent="0.25">
      <c r="A674">
        <v>673</v>
      </c>
      <c r="B674" t="s">
        <v>2004</v>
      </c>
      <c r="C674" t="s">
        <v>1260</v>
      </c>
      <c r="D674" t="s">
        <v>1814</v>
      </c>
      <c r="E674">
        <v>3</v>
      </c>
      <c r="F674">
        <v>500</v>
      </c>
      <c r="G674">
        <v>1500</v>
      </c>
      <c r="H674" s="9">
        <v>0</v>
      </c>
      <c r="I674">
        <v>359.11</v>
      </c>
      <c r="J674" s="10">
        <f t="shared" si="20"/>
        <v>2</v>
      </c>
      <c r="K674" s="11">
        <f t="shared" si="21"/>
        <v>0.23940666666666668</v>
      </c>
      <c r="L674" t="str">
        <f>VLOOKUP(C674,Customers!$A$2:$F$1001,2,FALSE())</f>
        <v>Elizabeth Flores</v>
      </c>
      <c r="M674" t="str">
        <f>VLOOKUP(C674,Customers!$A$2:$F$1001,3,FALSE())</f>
        <v>East</v>
      </c>
      <c r="N674" t="str">
        <f>VLOOKUP(C674,Customers!$A$2:$F$1001,4,FALSE())</f>
        <v>Consumer</v>
      </c>
    </row>
    <row r="675" spans="1:14" x14ac:dyDescent="0.25">
      <c r="A675">
        <v>674</v>
      </c>
      <c r="B675" t="s">
        <v>2126</v>
      </c>
      <c r="C675" t="s">
        <v>1262</v>
      </c>
      <c r="D675" t="s">
        <v>1814</v>
      </c>
      <c r="E675">
        <v>1</v>
      </c>
      <c r="F675">
        <v>300</v>
      </c>
      <c r="G675">
        <v>300</v>
      </c>
      <c r="H675" s="9">
        <v>0.05</v>
      </c>
      <c r="I675">
        <v>64.209999999999994</v>
      </c>
      <c r="J675" s="10">
        <f t="shared" si="20"/>
        <v>4</v>
      </c>
      <c r="K675" s="11">
        <f t="shared" si="21"/>
        <v>0.21403333333333333</v>
      </c>
      <c r="L675" t="str">
        <f>VLOOKUP(C675,Customers!$A$2:$F$1001,2,FALSE())</f>
        <v>Kevin Lewis</v>
      </c>
      <c r="M675" t="str">
        <f>VLOOKUP(C675,Customers!$A$2:$F$1001,3,FALSE())</f>
        <v>North</v>
      </c>
      <c r="N675" t="str">
        <f>VLOOKUP(C675,Customers!$A$2:$F$1001,4,FALSE())</f>
        <v>Consumer</v>
      </c>
    </row>
    <row r="676" spans="1:14" x14ac:dyDescent="0.25">
      <c r="A676">
        <v>675</v>
      </c>
      <c r="B676" t="s">
        <v>2093</v>
      </c>
      <c r="C676" t="s">
        <v>1264</v>
      </c>
      <c r="D676" t="s">
        <v>1814</v>
      </c>
      <c r="E676">
        <v>2</v>
      </c>
      <c r="F676">
        <v>30</v>
      </c>
      <c r="G676">
        <v>60</v>
      </c>
      <c r="H676" s="9">
        <v>0.15</v>
      </c>
      <c r="I676">
        <v>4.47</v>
      </c>
      <c r="J676" s="10">
        <f t="shared" si="20"/>
        <v>8</v>
      </c>
      <c r="K676" s="11">
        <f t="shared" si="21"/>
        <v>7.4499999999999997E-2</v>
      </c>
      <c r="L676" t="str">
        <f>VLOOKUP(C676,Customers!$A$2:$F$1001,2,FALSE())</f>
        <v>Andrew White</v>
      </c>
      <c r="M676" t="str">
        <f>VLOOKUP(C676,Customers!$A$2:$F$1001,3,FALSE())</f>
        <v>West</v>
      </c>
      <c r="N676" t="str">
        <f>VLOOKUP(C676,Customers!$A$2:$F$1001,4,FALSE())</f>
        <v>Corporate</v>
      </c>
    </row>
    <row r="677" spans="1:14" x14ac:dyDescent="0.25">
      <c r="A677">
        <v>676</v>
      </c>
      <c r="B677" t="s">
        <v>2016</v>
      </c>
      <c r="C677" t="s">
        <v>1265</v>
      </c>
      <c r="D677" t="s">
        <v>1816</v>
      </c>
      <c r="E677">
        <v>3</v>
      </c>
      <c r="F677">
        <v>500</v>
      </c>
      <c r="G677">
        <v>1500</v>
      </c>
      <c r="H677" s="9">
        <v>0.15</v>
      </c>
      <c r="I677">
        <v>12.96</v>
      </c>
      <c r="J677" s="10">
        <f t="shared" si="20"/>
        <v>7</v>
      </c>
      <c r="K677" s="11">
        <f t="shared" si="21"/>
        <v>8.6400000000000001E-3</v>
      </c>
      <c r="L677" t="str">
        <f>VLOOKUP(C677,Customers!$A$2:$F$1001,2,FALSE())</f>
        <v>Patricia Thomas</v>
      </c>
      <c r="M677" t="str">
        <f>VLOOKUP(C677,Customers!$A$2:$F$1001,3,FALSE())</f>
        <v>West</v>
      </c>
      <c r="N677" t="str">
        <f>VLOOKUP(C677,Customers!$A$2:$F$1001,4,FALSE())</f>
        <v>Corporate</v>
      </c>
    </row>
    <row r="678" spans="1:14" x14ac:dyDescent="0.25">
      <c r="A678">
        <v>677</v>
      </c>
      <c r="B678" t="s">
        <v>1915</v>
      </c>
      <c r="C678" t="s">
        <v>1267</v>
      </c>
      <c r="D678" t="s">
        <v>1812</v>
      </c>
      <c r="E678">
        <v>3</v>
      </c>
      <c r="F678">
        <v>500</v>
      </c>
      <c r="G678">
        <v>1500</v>
      </c>
      <c r="H678" s="9">
        <v>0.05</v>
      </c>
      <c r="I678">
        <v>421.72</v>
      </c>
      <c r="J678" s="10">
        <f t="shared" si="20"/>
        <v>10</v>
      </c>
      <c r="K678" s="11">
        <f t="shared" si="21"/>
        <v>0.28114666666666671</v>
      </c>
      <c r="L678" t="str">
        <f>VLOOKUP(C678,Customers!$A$2:$F$1001,2,FALSE())</f>
        <v>Matthew Torres</v>
      </c>
      <c r="M678" t="str">
        <f>VLOOKUP(C678,Customers!$A$2:$F$1001,3,FALSE())</f>
        <v>East</v>
      </c>
      <c r="N678" t="str">
        <f>VLOOKUP(C678,Customers!$A$2:$F$1001,4,FALSE())</f>
        <v>Consumer</v>
      </c>
    </row>
    <row r="679" spans="1:14" x14ac:dyDescent="0.25">
      <c r="A679">
        <v>678</v>
      </c>
      <c r="B679" t="s">
        <v>2018</v>
      </c>
      <c r="C679" t="s">
        <v>1269</v>
      </c>
      <c r="D679" t="s">
        <v>1816</v>
      </c>
      <c r="E679">
        <v>3</v>
      </c>
      <c r="F679">
        <v>300</v>
      </c>
      <c r="G679">
        <v>900</v>
      </c>
      <c r="H679" s="9">
        <v>0.1</v>
      </c>
      <c r="I679">
        <v>39.630000000000003</v>
      </c>
      <c r="J679" s="10">
        <f t="shared" si="20"/>
        <v>12</v>
      </c>
      <c r="K679" s="11">
        <f t="shared" si="21"/>
        <v>4.4033333333333334E-2</v>
      </c>
      <c r="L679" t="str">
        <f>VLOOKUP(C679,Customers!$A$2:$F$1001,2,FALSE())</f>
        <v>William Martin</v>
      </c>
      <c r="M679" t="str">
        <f>VLOOKUP(C679,Customers!$A$2:$F$1001,3,FALSE())</f>
        <v>South</v>
      </c>
      <c r="N679" t="str">
        <f>VLOOKUP(C679,Customers!$A$2:$F$1001,4,FALSE())</f>
        <v>Home Office</v>
      </c>
    </row>
    <row r="680" spans="1:14" x14ac:dyDescent="0.25">
      <c r="A680">
        <v>679</v>
      </c>
      <c r="B680" t="s">
        <v>1980</v>
      </c>
      <c r="C680" t="s">
        <v>1271</v>
      </c>
      <c r="D680" t="s">
        <v>1812</v>
      </c>
      <c r="E680">
        <v>3</v>
      </c>
      <c r="F680">
        <v>30</v>
      </c>
      <c r="G680">
        <v>90</v>
      </c>
      <c r="H680" s="9">
        <v>0</v>
      </c>
      <c r="I680">
        <v>32.869999999999997</v>
      </c>
      <c r="J680" s="10">
        <f t="shared" si="20"/>
        <v>1</v>
      </c>
      <c r="K680" s="11">
        <f t="shared" si="21"/>
        <v>0.36522222222222217</v>
      </c>
      <c r="L680" t="str">
        <f>VLOOKUP(C680,Customers!$A$2:$F$1001,2,FALSE())</f>
        <v>Sarah Garcia</v>
      </c>
      <c r="M680" t="str">
        <f>VLOOKUP(C680,Customers!$A$2:$F$1001,3,FALSE())</f>
        <v>West</v>
      </c>
      <c r="N680" t="str">
        <f>VLOOKUP(C680,Customers!$A$2:$F$1001,4,FALSE())</f>
        <v>Corporate</v>
      </c>
    </row>
    <row r="681" spans="1:14" x14ac:dyDescent="0.25">
      <c r="A681">
        <v>680</v>
      </c>
      <c r="B681" t="s">
        <v>2107</v>
      </c>
      <c r="C681" t="s">
        <v>1272</v>
      </c>
      <c r="D681" t="s">
        <v>1814</v>
      </c>
      <c r="E681">
        <v>3</v>
      </c>
      <c r="F681">
        <v>300</v>
      </c>
      <c r="G681">
        <v>900</v>
      </c>
      <c r="H681" s="9">
        <v>0</v>
      </c>
      <c r="I681">
        <v>265.54000000000002</v>
      </c>
      <c r="J681" s="10">
        <f t="shared" si="20"/>
        <v>10</v>
      </c>
      <c r="K681" s="11">
        <f t="shared" si="21"/>
        <v>0.29504444444444444</v>
      </c>
      <c r="L681" t="str">
        <f>VLOOKUP(C681,Customers!$A$2:$F$1001,2,FALSE())</f>
        <v>Jennifer Anderson</v>
      </c>
      <c r="M681" t="str">
        <f>VLOOKUP(C681,Customers!$A$2:$F$1001,3,FALSE())</f>
        <v>East</v>
      </c>
      <c r="N681" t="str">
        <f>VLOOKUP(C681,Customers!$A$2:$F$1001,4,FALSE())</f>
        <v>Consumer</v>
      </c>
    </row>
    <row r="682" spans="1:14" x14ac:dyDescent="0.25">
      <c r="A682">
        <v>681</v>
      </c>
      <c r="B682" t="s">
        <v>1851</v>
      </c>
      <c r="C682" t="s">
        <v>1273</v>
      </c>
      <c r="D682" t="s">
        <v>1816</v>
      </c>
      <c r="E682">
        <v>2</v>
      </c>
      <c r="F682">
        <v>30</v>
      </c>
      <c r="G682">
        <v>60</v>
      </c>
      <c r="H682" s="9">
        <v>0.1</v>
      </c>
      <c r="I682">
        <v>-1.27</v>
      </c>
      <c r="J682" s="10">
        <f t="shared" si="20"/>
        <v>7</v>
      </c>
      <c r="K682" s="11">
        <f t="shared" si="21"/>
        <v>-2.1166666666666667E-2</v>
      </c>
      <c r="L682" t="str">
        <f>VLOOKUP(C682,Customers!$A$2:$F$1001,2,FALSE())</f>
        <v>John Williams</v>
      </c>
      <c r="M682" t="str">
        <f>VLOOKUP(C682,Customers!$A$2:$F$1001,3,FALSE())</f>
        <v>East</v>
      </c>
      <c r="N682" t="str">
        <f>VLOOKUP(C682,Customers!$A$2:$F$1001,4,FALSE())</f>
        <v>Home Office</v>
      </c>
    </row>
    <row r="683" spans="1:14" x14ac:dyDescent="0.25">
      <c r="A683">
        <v>682</v>
      </c>
      <c r="B683" t="s">
        <v>2025</v>
      </c>
      <c r="C683" t="s">
        <v>1275</v>
      </c>
      <c r="D683" t="s">
        <v>1812</v>
      </c>
      <c r="E683">
        <v>4</v>
      </c>
      <c r="F683">
        <v>300</v>
      </c>
      <c r="G683">
        <v>1200</v>
      </c>
      <c r="H683" s="9">
        <v>0</v>
      </c>
      <c r="I683">
        <v>403.5</v>
      </c>
      <c r="J683" s="10">
        <f t="shared" si="20"/>
        <v>9</v>
      </c>
      <c r="K683" s="11">
        <f t="shared" si="21"/>
        <v>0.33624999999999999</v>
      </c>
      <c r="L683" t="str">
        <f>VLOOKUP(C683,Customers!$A$2:$F$1001,2,FALSE())</f>
        <v>Sarah Rodriguez</v>
      </c>
      <c r="M683" t="str">
        <f>VLOOKUP(C683,Customers!$A$2:$F$1001,3,FALSE())</f>
        <v>West</v>
      </c>
      <c r="N683" t="str">
        <f>VLOOKUP(C683,Customers!$A$2:$F$1001,4,FALSE())</f>
        <v>Home Office</v>
      </c>
    </row>
    <row r="684" spans="1:14" x14ac:dyDescent="0.25">
      <c r="A684">
        <v>683</v>
      </c>
      <c r="B684" t="s">
        <v>1844</v>
      </c>
      <c r="C684" t="s">
        <v>1277</v>
      </c>
      <c r="D684" t="s">
        <v>1812</v>
      </c>
      <c r="E684">
        <v>2</v>
      </c>
      <c r="F684">
        <v>500</v>
      </c>
      <c r="G684">
        <v>1000</v>
      </c>
      <c r="H684" s="9">
        <v>0.05</v>
      </c>
      <c r="I684">
        <v>315.45999999999998</v>
      </c>
      <c r="J684" s="10">
        <f t="shared" si="20"/>
        <v>1</v>
      </c>
      <c r="K684" s="11">
        <f t="shared" si="21"/>
        <v>0.31545999999999996</v>
      </c>
      <c r="L684" t="str">
        <f>VLOOKUP(C684,Customers!$A$2:$F$1001,2,FALSE())</f>
        <v>Betty Smith</v>
      </c>
      <c r="M684" t="str">
        <f>VLOOKUP(C684,Customers!$A$2:$F$1001,3,FALSE())</f>
        <v>East</v>
      </c>
      <c r="N684" t="str">
        <f>VLOOKUP(C684,Customers!$A$2:$F$1001,4,FALSE())</f>
        <v>Consumer</v>
      </c>
    </row>
    <row r="685" spans="1:14" x14ac:dyDescent="0.25">
      <c r="A685">
        <v>684</v>
      </c>
      <c r="B685" t="s">
        <v>2127</v>
      </c>
      <c r="C685" t="s">
        <v>1278</v>
      </c>
      <c r="D685" t="s">
        <v>1814</v>
      </c>
      <c r="E685">
        <v>2</v>
      </c>
      <c r="F685">
        <v>500</v>
      </c>
      <c r="G685">
        <v>1000</v>
      </c>
      <c r="H685" s="9">
        <v>0.05</v>
      </c>
      <c r="I685">
        <v>236.38</v>
      </c>
      <c r="J685" s="10">
        <f t="shared" si="20"/>
        <v>6</v>
      </c>
      <c r="K685" s="11">
        <f t="shared" si="21"/>
        <v>0.23638000000000001</v>
      </c>
      <c r="L685" t="str">
        <f>VLOOKUP(C685,Customers!$A$2:$F$1001,2,FALSE())</f>
        <v>Jessica Jackson</v>
      </c>
      <c r="M685" t="str">
        <f>VLOOKUP(C685,Customers!$A$2:$F$1001,3,FALSE())</f>
        <v>South</v>
      </c>
      <c r="N685" t="str">
        <f>VLOOKUP(C685,Customers!$A$2:$F$1001,4,FALSE())</f>
        <v>Corporate</v>
      </c>
    </row>
    <row r="686" spans="1:14" x14ac:dyDescent="0.25">
      <c r="A686">
        <v>685</v>
      </c>
      <c r="B686" t="s">
        <v>1946</v>
      </c>
      <c r="C686" t="s">
        <v>1280</v>
      </c>
      <c r="D686" t="s">
        <v>1816</v>
      </c>
      <c r="E686">
        <v>2</v>
      </c>
      <c r="F686">
        <v>25</v>
      </c>
      <c r="G686">
        <v>50</v>
      </c>
      <c r="H686" s="9">
        <v>0</v>
      </c>
      <c r="I686">
        <v>7.86</v>
      </c>
      <c r="J686" s="10">
        <f t="shared" si="20"/>
        <v>6</v>
      </c>
      <c r="K686" s="11">
        <f t="shared" si="21"/>
        <v>0.15720000000000001</v>
      </c>
      <c r="L686" t="str">
        <f>VLOOKUP(C686,Customers!$A$2:$F$1001,2,FALSE())</f>
        <v>Edward Sanchez</v>
      </c>
      <c r="M686" t="str">
        <f>VLOOKUP(C686,Customers!$A$2:$F$1001,3,FALSE())</f>
        <v>North</v>
      </c>
      <c r="N686" t="str">
        <f>VLOOKUP(C686,Customers!$A$2:$F$1001,4,FALSE())</f>
        <v>Consumer</v>
      </c>
    </row>
    <row r="687" spans="1:14" x14ac:dyDescent="0.25">
      <c r="A687">
        <v>686</v>
      </c>
      <c r="B687" t="s">
        <v>2016</v>
      </c>
      <c r="C687" t="s">
        <v>1282</v>
      </c>
      <c r="D687" t="s">
        <v>1816</v>
      </c>
      <c r="E687">
        <v>4</v>
      </c>
      <c r="F687">
        <v>50</v>
      </c>
      <c r="G687">
        <v>200</v>
      </c>
      <c r="H687" s="9">
        <v>0</v>
      </c>
      <c r="I687">
        <v>28.24</v>
      </c>
      <c r="J687" s="10">
        <f t="shared" si="20"/>
        <v>7</v>
      </c>
      <c r="K687" s="11">
        <f t="shared" si="21"/>
        <v>0.14119999999999999</v>
      </c>
      <c r="L687" t="str">
        <f>VLOOKUP(C687,Customers!$A$2:$F$1001,2,FALSE())</f>
        <v>Brian Wilson</v>
      </c>
      <c r="M687" t="str">
        <f>VLOOKUP(C687,Customers!$A$2:$F$1001,3,FALSE())</f>
        <v>North</v>
      </c>
      <c r="N687" t="str">
        <f>VLOOKUP(C687,Customers!$A$2:$F$1001,4,FALSE())</f>
        <v>Corporate</v>
      </c>
    </row>
    <row r="688" spans="1:14" x14ac:dyDescent="0.25">
      <c r="A688">
        <v>687</v>
      </c>
      <c r="B688" t="s">
        <v>1839</v>
      </c>
      <c r="C688" t="s">
        <v>1283</v>
      </c>
      <c r="D688" t="s">
        <v>1816</v>
      </c>
      <c r="E688">
        <v>1</v>
      </c>
      <c r="F688">
        <v>300</v>
      </c>
      <c r="G688">
        <v>300</v>
      </c>
      <c r="H688" s="9">
        <v>0.05</v>
      </c>
      <c r="I688">
        <v>33.81</v>
      </c>
      <c r="J688" s="10">
        <f t="shared" si="20"/>
        <v>8</v>
      </c>
      <c r="K688" s="11">
        <f t="shared" si="21"/>
        <v>0.11270000000000001</v>
      </c>
      <c r="L688" t="str">
        <f>VLOOKUP(C688,Customers!$A$2:$F$1001,2,FALSE())</f>
        <v>Daniel Taylor</v>
      </c>
      <c r="M688" t="str">
        <f>VLOOKUP(C688,Customers!$A$2:$F$1001,3,FALSE())</f>
        <v>South</v>
      </c>
      <c r="N688" t="str">
        <f>VLOOKUP(C688,Customers!$A$2:$F$1001,4,FALSE())</f>
        <v>Consumer</v>
      </c>
    </row>
    <row r="689" spans="1:14" x14ac:dyDescent="0.25">
      <c r="A689">
        <v>688</v>
      </c>
      <c r="B689" t="s">
        <v>1913</v>
      </c>
      <c r="C689" t="s">
        <v>1285</v>
      </c>
      <c r="D689" t="s">
        <v>1814</v>
      </c>
      <c r="E689">
        <v>4</v>
      </c>
      <c r="F689">
        <v>25</v>
      </c>
      <c r="G689">
        <v>100</v>
      </c>
      <c r="H689" s="9">
        <v>0.2</v>
      </c>
      <c r="I689">
        <v>3.61</v>
      </c>
      <c r="J689" s="10">
        <f t="shared" si="20"/>
        <v>10</v>
      </c>
      <c r="K689" s="11">
        <f t="shared" si="21"/>
        <v>3.61E-2</v>
      </c>
      <c r="L689" t="str">
        <f>VLOOKUP(C689,Customers!$A$2:$F$1001,2,FALSE())</f>
        <v>Brian Hill</v>
      </c>
      <c r="M689" t="str">
        <f>VLOOKUP(C689,Customers!$A$2:$F$1001,3,FALSE())</f>
        <v>South</v>
      </c>
      <c r="N689" t="str">
        <f>VLOOKUP(C689,Customers!$A$2:$F$1001,4,FALSE())</f>
        <v>Corporate</v>
      </c>
    </row>
    <row r="690" spans="1:14" x14ac:dyDescent="0.25">
      <c r="A690">
        <v>689</v>
      </c>
      <c r="B690" t="s">
        <v>1823</v>
      </c>
      <c r="C690" t="s">
        <v>1287</v>
      </c>
      <c r="D690" t="s">
        <v>1816</v>
      </c>
      <c r="E690">
        <v>2</v>
      </c>
      <c r="F690">
        <v>50</v>
      </c>
      <c r="G690">
        <v>100</v>
      </c>
      <c r="H690" s="9">
        <v>0.1</v>
      </c>
      <c r="I690">
        <v>1.92</v>
      </c>
      <c r="J690" s="10">
        <f t="shared" si="20"/>
        <v>10</v>
      </c>
      <c r="K690" s="11">
        <f t="shared" si="21"/>
        <v>1.9199999999999998E-2</v>
      </c>
      <c r="L690" t="str">
        <f>VLOOKUP(C690,Customers!$A$2:$F$1001,2,FALSE())</f>
        <v>Edward Walker</v>
      </c>
      <c r="M690" t="str">
        <f>VLOOKUP(C690,Customers!$A$2:$F$1001,3,FALSE())</f>
        <v>East</v>
      </c>
      <c r="N690" t="str">
        <f>VLOOKUP(C690,Customers!$A$2:$F$1001,4,FALSE())</f>
        <v>Consumer</v>
      </c>
    </row>
    <row r="691" spans="1:14" x14ac:dyDescent="0.25">
      <c r="A691">
        <v>690</v>
      </c>
      <c r="B691" t="s">
        <v>1833</v>
      </c>
      <c r="C691" t="s">
        <v>1289</v>
      </c>
      <c r="D691" t="s">
        <v>1814</v>
      </c>
      <c r="E691">
        <v>3</v>
      </c>
      <c r="F691">
        <v>300</v>
      </c>
      <c r="G691">
        <v>900</v>
      </c>
      <c r="H691" s="9">
        <v>0.05</v>
      </c>
      <c r="I691">
        <v>179.92</v>
      </c>
      <c r="J691" s="10">
        <f t="shared" si="20"/>
        <v>11</v>
      </c>
      <c r="K691" s="11">
        <f t="shared" si="21"/>
        <v>0.19991111111111109</v>
      </c>
      <c r="L691" t="str">
        <f>VLOOKUP(C691,Customers!$A$2:$F$1001,2,FALSE())</f>
        <v>Margaret Perez</v>
      </c>
      <c r="M691" t="str">
        <f>VLOOKUP(C691,Customers!$A$2:$F$1001,3,FALSE())</f>
        <v>South</v>
      </c>
      <c r="N691" t="str">
        <f>VLOOKUP(C691,Customers!$A$2:$F$1001,4,FALSE())</f>
        <v>Corporate</v>
      </c>
    </row>
    <row r="692" spans="1:14" x14ac:dyDescent="0.25">
      <c r="A692">
        <v>691</v>
      </c>
      <c r="B692" t="s">
        <v>1840</v>
      </c>
      <c r="C692" t="s">
        <v>1291</v>
      </c>
      <c r="D692" t="s">
        <v>1814</v>
      </c>
      <c r="E692">
        <v>3</v>
      </c>
      <c r="F692">
        <v>30</v>
      </c>
      <c r="G692">
        <v>90</v>
      </c>
      <c r="H692" s="9">
        <v>0</v>
      </c>
      <c r="I692">
        <v>25.69</v>
      </c>
      <c r="J692" s="10">
        <f t="shared" si="20"/>
        <v>4</v>
      </c>
      <c r="K692" s="11">
        <f t="shared" si="21"/>
        <v>0.28544444444444445</v>
      </c>
      <c r="L692" t="str">
        <f>VLOOKUP(C692,Customers!$A$2:$F$1001,2,FALSE())</f>
        <v>Deborah Lopez</v>
      </c>
      <c r="M692" t="str">
        <f>VLOOKUP(C692,Customers!$A$2:$F$1001,3,FALSE())</f>
        <v>West</v>
      </c>
      <c r="N692" t="str">
        <f>VLOOKUP(C692,Customers!$A$2:$F$1001,4,FALSE())</f>
        <v>Home Office</v>
      </c>
    </row>
    <row r="693" spans="1:14" x14ac:dyDescent="0.25">
      <c r="A693">
        <v>692</v>
      </c>
      <c r="B693" t="s">
        <v>2020</v>
      </c>
      <c r="C693" t="s">
        <v>1293</v>
      </c>
      <c r="D693" t="s">
        <v>1814</v>
      </c>
      <c r="E693">
        <v>2</v>
      </c>
      <c r="F693">
        <v>50</v>
      </c>
      <c r="G693">
        <v>100</v>
      </c>
      <c r="H693" s="9">
        <v>0.1</v>
      </c>
      <c r="I693">
        <v>18.670000000000002</v>
      </c>
      <c r="J693" s="10">
        <f t="shared" si="20"/>
        <v>9</v>
      </c>
      <c r="K693" s="11">
        <f t="shared" si="21"/>
        <v>0.1867</v>
      </c>
      <c r="L693" t="str">
        <f>VLOOKUP(C693,Customers!$A$2:$F$1001,2,FALSE())</f>
        <v>Sarah Scott</v>
      </c>
      <c r="M693" t="str">
        <f>VLOOKUP(C693,Customers!$A$2:$F$1001,3,FALSE())</f>
        <v>West</v>
      </c>
      <c r="N693" t="str">
        <f>VLOOKUP(C693,Customers!$A$2:$F$1001,4,FALSE())</f>
        <v>Consumer</v>
      </c>
    </row>
    <row r="694" spans="1:14" x14ac:dyDescent="0.25">
      <c r="A694">
        <v>693</v>
      </c>
      <c r="B694" t="s">
        <v>1840</v>
      </c>
      <c r="C694" t="s">
        <v>1295</v>
      </c>
      <c r="D694" t="s">
        <v>1812</v>
      </c>
      <c r="E694">
        <v>3</v>
      </c>
      <c r="F694">
        <v>500</v>
      </c>
      <c r="G694">
        <v>1500</v>
      </c>
      <c r="H694" s="9">
        <v>0</v>
      </c>
      <c r="I694">
        <v>558.41999999999996</v>
      </c>
      <c r="J694" s="10">
        <f t="shared" si="20"/>
        <v>4</v>
      </c>
      <c r="K694" s="11">
        <f t="shared" si="21"/>
        <v>0.37228</v>
      </c>
      <c r="L694" t="str">
        <f>VLOOKUP(C694,Customers!$A$2:$F$1001,2,FALSE())</f>
        <v>Karen Martinez</v>
      </c>
      <c r="M694" t="str">
        <f>VLOOKUP(C694,Customers!$A$2:$F$1001,3,FALSE())</f>
        <v>North</v>
      </c>
      <c r="N694" t="str">
        <f>VLOOKUP(C694,Customers!$A$2:$F$1001,4,FALSE())</f>
        <v>Home Office</v>
      </c>
    </row>
    <row r="695" spans="1:14" x14ac:dyDescent="0.25">
      <c r="A695">
        <v>694</v>
      </c>
      <c r="B695" t="s">
        <v>2055</v>
      </c>
      <c r="C695" t="s">
        <v>1297</v>
      </c>
      <c r="D695" t="s">
        <v>1816</v>
      </c>
      <c r="E695">
        <v>2</v>
      </c>
      <c r="F695">
        <v>25</v>
      </c>
      <c r="G695">
        <v>50</v>
      </c>
      <c r="H695" s="9">
        <v>0.05</v>
      </c>
      <c r="I695">
        <v>4.57</v>
      </c>
      <c r="J695" s="10">
        <f t="shared" si="20"/>
        <v>5</v>
      </c>
      <c r="K695" s="11">
        <f t="shared" si="21"/>
        <v>9.1400000000000009E-2</v>
      </c>
      <c r="L695" t="str">
        <f>VLOOKUP(C695,Customers!$A$2:$F$1001,2,FALSE())</f>
        <v>Mark Wilson</v>
      </c>
      <c r="M695" t="str">
        <f>VLOOKUP(C695,Customers!$A$2:$F$1001,3,FALSE())</f>
        <v>East</v>
      </c>
      <c r="N695" t="str">
        <f>VLOOKUP(C695,Customers!$A$2:$F$1001,4,FALSE())</f>
        <v>Home Office</v>
      </c>
    </row>
    <row r="696" spans="1:14" x14ac:dyDescent="0.25">
      <c r="A696">
        <v>695</v>
      </c>
      <c r="B696" t="s">
        <v>2083</v>
      </c>
      <c r="C696" t="s">
        <v>1298</v>
      </c>
      <c r="D696" t="s">
        <v>1816</v>
      </c>
      <c r="E696">
        <v>3</v>
      </c>
      <c r="F696">
        <v>50</v>
      </c>
      <c r="G696">
        <v>150</v>
      </c>
      <c r="H696" s="9">
        <v>0.15</v>
      </c>
      <c r="I696">
        <v>-4.74</v>
      </c>
      <c r="J696" s="10">
        <f t="shared" si="20"/>
        <v>8</v>
      </c>
      <c r="K696" s="11">
        <f t="shared" si="21"/>
        <v>-3.1600000000000003E-2</v>
      </c>
      <c r="L696" t="str">
        <f>VLOOKUP(C696,Customers!$A$2:$F$1001,2,FALSE())</f>
        <v>Brian Torres</v>
      </c>
      <c r="M696" t="str">
        <f>VLOOKUP(C696,Customers!$A$2:$F$1001,3,FALSE())</f>
        <v>East</v>
      </c>
      <c r="N696" t="str">
        <f>VLOOKUP(C696,Customers!$A$2:$F$1001,4,FALSE())</f>
        <v>Home Office</v>
      </c>
    </row>
    <row r="697" spans="1:14" x14ac:dyDescent="0.25">
      <c r="A697">
        <v>696</v>
      </c>
      <c r="B697" t="s">
        <v>1961</v>
      </c>
      <c r="C697" t="s">
        <v>1300</v>
      </c>
      <c r="D697" t="s">
        <v>1814</v>
      </c>
      <c r="E697">
        <v>4</v>
      </c>
      <c r="F697">
        <v>50</v>
      </c>
      <c r="G697">
        <v>200</v>
      </c>
      <c r="H697" s="9">
        <v>0.05</v>
      </c>
      <c r="I697">
        <v>41.34</v>
      </c>
      <c r="J697" s="10">
        <f t="shared" si="20"/>
        <v>9</v>
      </c>
      <c r="K697" s="11">
        <f t="shared" si="21"/>
        <v>0.20670000000000002</v>
      </c>
      <c r="L697" t="str">
        <f>VLOOKUP(C697,Customers!$A$2:$F$1001,2,FALSE())</f>
        <v>Jessica Perez</v>
      </c>
      <c r="M697" t="str">
        <f>VLOOKUP(C697,Customers!$A$2:$F$1001,3,FALSE())</f>
        <v>East</v>
      </c>
      <c r="N697" t="str">
        <f>VLOOKUP(C697,Customers!$A$2:$F$1001,4,FALSE())</f>
        <v>Consumer</v>
      </c>
    </row>
    <row r="698" spans="1:14" x14ac:dyDescent="0.25">
      <c r="A698">
        <v>697</v>
      </c>
      <c r="B698" t="s">
        <v>2081</v>
      </c>
      <c r="C698" t="s">
        <v>1302</v>
      </c>
      <c r="D698" t="s">
        <v>1814</v>
      </c>
      <c r="E698">
        <v>1</v>
      </c>
      <c r="F698">
        <v>500</v>
      </c>
      <c r="G698">
        <v>500</v>
      </c>
      <c r="H698" s="9">
        <v>0</v>
      </c>
      <c r="I698">
        <v>123.26</v>
      </c>
      <c r="J698" s="10">
        <f t="shared" si="20"/>
        <v>1</v>
      </c>
      <c r="K698" s="11">
        <f t="shared" si="21"/>
        <v>0.24652000000000002</v>
      </c>
      <c r="L698" t="str">
        <f>VLOOKUP(C698,Customers!$A$2:$F$1001,2,FALSE())</f>
        <v>Deborah Robinson</v>
      </c>
      <c r="M698" t="str">
        <f>VLOOKUP(C698,Customers!$A$2:$F$1001,3,FALSE())</f>
        <v>North</v>
      </c>
      <c r="N698" t="str">
        <f>VLOOKUP(C698,Customers!$A$2:$F$1001,4,FALSE())</f>
        <v>Home Office</v>
      </c>
    </row>
    <row r="699" spans="1:14" x14ac:dyDescent="0.25">
      <c r="A699">
        <v>698</v>
      </c>
      <c r="B699" t="s">
        <v>2016</v>
      </c>
      <c r="C699" t="s">
        <v>1303</v>
      </c>
      <c r="D699" t="s">
        <v>1816</v>
      </c>
      <c r="E699">
        <v>1</v>
      </c>
      <c r="F699">
        <v>300</v>
      </c>
      <c r="G699">
        <v>300</v>
      </c>
      <c r="H699" s="9">
        <v>0</v>
      </c>
      <c r="I699">
        <v>46.71</v>
      </c>
      <c r="J699" s="10">
        <f t="shared" si="20"/>
        <v>7</v>
      </c>
      <c r="K699" s="11">
        <f t="shared" si="21"/>
        <v>0.15570000000000001</v>
      </c>
      <c r="L699" t="str">
        <f>VLOOKUP(C699,Customers!$A$2:$F$1001,2,FALSE())</f>
        <v>William White</v>
      </c>
      <c r="M699" t="str">
        <f>VLOOKUP(C699,Customers!$A$2:$F$1001,3,FALSE())</f>
        <v>West</v>
      </c>
      <c r="N699" t="str">
        <f>VLOOKUP(C699,Customers!$A$2:$F$1001,4,FALSE())</f>
        <v>Consumer</v>
      </c>
    </row>
    <row r="700" spans="1:14" x14ac:dyDescent="0.25">
      <c r="A700">
        <v>699</v>
      </c>
      <c r="B700" t="s">
        <v>1850</v>
      </c>
      <c r="C700" t="s">
        <v>1305</v>
      </c>
      <c r="D700" t="s">
        <v>1814</v>
      </c>
      <c r="E700">
        <v>4</v>
      </c>
      <c r="F700">
        <v>30</v>
      </c>
      <c r="G700">
        <v>120</v>
      </c>
      <c r="H700" s="9">
        <v>0</v>
      </c>
      <c r="I700">
        <v>26.19</v>
      </c>
      <c r="J700" s="10">
        <f t="shared" si="20"/>
        <v>6</v>
      </c>
      <c r="K700" s="11">
        <f t="shared" si="21"/>
        <v>0.21825</v>
      </c>
      <c r="L700" t="str">
        <f>VLOOKUP(C700,Customers!$A$2:$F$1001,2,FALSE())</f>
        <v>Donald Clark</v>
      </c>
      <c r="M700" t="str">
        <f>VLOOKUP(C700,Customers!$A$2:$F$1001,3,FALSE())</f>
        <v>West</v>
      </c>
      <c r="N700" t="str">
        <f>VLOOKUP(C700,Customers!$A$2:$F$1001,4,FALSE())</f>
        <v>Consumer</v>
      </c>
    </row>
    <row r="701" spans="1:14" x14ac:dyDescent="0.25">
      <c r="A701">
        <v>700</v>
      </c>
      <c r="B701" t="s">
        <v>1988</v>
      </c>
      <c r="C701" t="s">
        <v>1306</v>
      </c>
      <c r="D701" t="s">
        <v>1816</v>
      </c>
      <c r="E701">
        <v>4</v>
      </c>
      <c r="F701">
        <v>500</v>
      </c>
      <c r="G701">
        <v>2000</v>
      </c>
      <c r="H701" s="9">
        <v>0.05</v>
      </c>
      <c r="I701">
        <v>257.82</v>
      </c>
      <c r="J701" s="10">
        <f t="shared" si="20"/>
        <v>12</v>
      </c>
      <c r="K701" s="11">
        <f t="shared" si="21"/>
        <v>0.12891</v>
      </c>
      <c r="L701" t="str">
        <f>VLOOKUP(C701,Customers!$A$2:$F$1001,2,FALSE())</f>
        <v>Mary Lopez</v>
      </c>
      <c r="M701" t="str">
        <f>VLOOKUP(C701,Customers!$A$2:$F$1001,3,FALSE())</f>
        <v>East</v>
      </c>
      <c r="N701" t="str">
        <f>VLOOKUP(C701,Customers!$A$2:$F$1001,4,FALSE())</f>
        <v>Home Office</v>
      </c>
    </row>
    <row r="702" spans="1:14" x14ac:dyDescent="0.25">
      <c r="A702">
        <v>701</v>
      </c>
      <c r="B702" t="s">
        <v>2080</v>
      </c>
      <c r="C702" t="s">
        <v>1308</v>
      </c>
      <c r="D702" t="s">
        <v>1812</v>
      </c>
      <c r="E702">
        <v>2</v>
      </c>
      <c r="F702">
        <v>30</v>
      </c>
      <c r="G702">
        <v>60</v>
      </c>
      <c r="H702" s="9">
        <v>0.2</v>
      </c>
      <c r="I702">
        <v>4.55</v>
      </c>
      <c r="J702" s="10">
        <f t="shared" si="20"/>
        <v>12</v>
      </c>
      <c r="K702" s="11">
        <f t="shared" si="21"/>
        <v>7.5833333333333336E-2</v>
      </c>
      <c r="L702" t="str">
        <f>VLOOKUP(C702,Customers!$A$2:$F$1001,2,FALSE())</f>
        <v>Kevin Martinez</v>
      </c>
      <c r="M702" t="str">
        <f>VLOOKUP(C702,Customers!$A$2:$F$1001,3,FALSE())</f>
        <v>West</v>
      </c>
      <c r="N702" t="str">
        <f>VLOOKUP(C702,Customers!$A$2:$F$1001,4,FALSE())</f>
        <v>Corporate</v>
      </c>
    </row>
    <row r="703" spans="1:14" x14ac:dyDescent="0.25">
      <c r="A703">
        <v>702</v>
      </c>
      <c r="B703" t="s">
        <v>2096</v>
      </c>
      <c r="C703" t="s">
        <v>1310</v>
      </c>
      <c r="D703" t="s">
        <v>1814</v>
      </c>
      <c r="E703">
        <v>2</v>
      </c>
      <c r="F703">
        <v>300</v>
      </c>
      <c r="G703">
        <v>600</v>
      </c>
      <c r="H703" s="9">
        <v>0</v>
      </c>
      <c r="I703">
        <v>142.22</v>
      </c>
      <c r="J703" s="10">
        <f t="shared" si="20"/>
        <v>7</v>
      </c>
      <c r="K703" s="11">
        <f t="shared" si="21"/>
        <v>0.23703333333333332</v>
      </c>
      <c r="L703" t="str">
        <f>VLOOKUP(C703,Customers!$A$2:$F$1001,2,FALSE())</f>
        <v>Joseph Gonzalez</v>
      </c>
      <c r="M703" t="str">
        <f>VLOOKUP(C703,Customers!$A$2:$F$1001,3,FALSE())</f>
        <v>West</v>
      </c>
      <c r="N703" t="str">
        <f>VLOOKUP(C703,Customers!$A$2:$F$1001,4,FALSE())</f>
        <v>Corporate</v>
      </c>
    </row>
    <row r="704" spans="1:14" x14ac:dyDescent="0.25">
      <c r="A704">
        <v>703</v>
      </c>
      <c r="B704" t="s">
        <v>1968</v>
      </c>
      <c r="C704" t="s">
        <v>1311</v>
      </c>
      <c r="D704" t="s">
        <v>1816</v>
      </c>
      <c r="E704">
        <v>2</v>
      </c>
      <c r="F704">
        <v>50</v>
      </c>
      <c r="G704">
        <v>100</v>
      </c>
      <c r="H704" s="9">
        <v>0.1</v>
      </c>
      <c r="I704">
        <v>3.29</v>
      </c>
      <c r="J704" s="10">
        <f t="shared" si="20"/>
        <v>3</v>
      </c>
      <c r="K704" s="11">
        <f t="shared" si="21"/>
        <v>3.2899999999999999E-2</v>
      </c>
      <c r="L704" t="str">
        <f>VLOOKUP(C704,Customers!$A$2:$F$1001,2,FALSE())</f>
        <v>David Miller</v>
      </c>
      <c r="M704" t="str">
        <f>VLOOKUP(C704,Customers!$A$2:$F$1001,3,FALSE())</f>
        <v>South</v>
      </c>
      <c r="N704" t="str">
        <f>VLOOKUP(C704,Customers!$A$2:$F$1001,4,FALSE())</f>
        <v>Consumer</v>
      </c>
    </row>
    <row r="705" spans="1:14" x14ac:dyDescent="0.25">
      <c r="A705">
        <v>704</v>
      </c>
      <c r="B705" t="s">
        <v>1931</v>
      </c>
      <c r="C705" t="s">
        <v>1312</v>
      </c>
      <c r="D705" t="s">
        <v>1814</v>
      </c>
      <c r="E705">
        <v>3</v>
      </c>
      <c r="F705">
        <v>30</v>
      </c>
      <c r="G705">
        <v>90</v>
      </c>
      <c r="H705" s="9">
        <v>0.1</v>
      </c>
      <c r="I705">
        <v>17.079999999999998</v>
      </c>
      <c r="J705" s="10">
        <f t="shared" si="20"/>
        <v>8</v>
      </c>
      <c r="K705" s="11">
        <f t="shared" si="21"/>
        <v>0.18977777777777777</v>
      </c>
      <c r="L705" t="str">
        <f>VLOOKUP(C705,Customers!$A$2:$F$1001,2,FALSE())</f>
        <v>Sarah Wright</v>
      </c>
      <c r="M705" t="str">
        <f>VLOOKUP(C705,Customers!$A$2:$F$1001,3,FALSE())</f>
        <v>East</v>
      </c>
      <c r="N705" t="str">
        <f>VLOOKUP(C705,Customers!$A$2:$F$1001,4,FALSE())</f>
        <v>Home Office</v>
      </c>
    </row>
    <row r="706" spans="1:14" x14ac:dyDescent="0.25">
      <c r="A706">
        <v>705</v>
      </c>
      <c r="B706" t="s">
        <v>1964</v>
      </c>
      <c r="C706" t="s">
        <v>1314</v>
      </c>
      <c r="D706" t="s">
        <v>1816</v>
      </c>
      <c r="E706">
        <v>2</v>
      </c>
      <c r="F706">
        <v>25</v>
      </c>
      <c r="G706">
        <v>50</v>
      </c>
      <c r="H706" s="9">
        <v>0</v>
      </c>
      <c r="I706">
        <v>6.87</v>
      </c>
      <c r="J706" s="10">
        <f t="shared" ref="J706:J769" si="22">MONTH(B706)</f>
        <v>3</v>
      </c>
      <c r="K706" s="11">
        <f t="shared" ref="K706:K769" si="23">IF(G706=0,0,I706/G706)</f>
        <v>0.13739999999999999</v>
      </c>
      <c r="L706" t="str">
        <f>VLOOKUP(C706,Customers!$A$2:$F$1001,2,FALSE())</f>
        <v>James Lopez</v>
      </c>
      <c r="M706" t="str">
        <f>VLOOKUP(C706,Customers!$A$2:$F$1001,3,FALSE())</f>
        <v>South</v>
      </c>
      <c r="N706" t="str">
        <f>VLOOKUP(C706,Customers!$A$2:$F$1001,4,FALSE())</f>
        <v>Corporate</v>
      </c>
    </row>
    <row r="707" spans="1:14" x14ac:dyDescent="0.25">
      <c r="A707">
        <v>706</v>
      </c>
      <c r="B707" t="s">
        <v>2043</v>
      </c>
      <c r="C707" t="s">
        <v>1316</v>
      </c>
      <c r="D707" t="s">
        <v>1816</v>
      </c>
      <c r="E707">
        <v>4</v>
      </c>
      <c r="F707">
        <v>25</v>
      </c>
      <c r="G707">
        <v>100</v>
      </c>
      <c r="H707" s="9">
        <v>0</v>
      </c>
      <c r="I707">
        <v>13</v>
      </c>
      <c r="J707" s="10">
        <f t="shared" si="22"/>
        <v>11</v>
      </c>
      <c r="K707" s="11">
        <f t="shared" si="23"/>
        <v>0.13</v>
      </c>
      <c r="L707" t="str">
        <f>VLOOKUP(C707,Customers!$A$2:$F$1001,2,FALSE())</f>
        <v>Patricia Thompson</v>
      </c>
      <c r="M707" t="str">
        <f>VLOOKUP(C707,Customers!$A$2:$F$1001,3,FALSE())</f>
        <v>West</v>
      </c>
      <c r="N707" t="str">
        <f>VLOOKUP(C707,Customers!$A$2:$F$1001,4,FALSE())</f>
        <v>Consumer</v>
      </c>
    </row>
    <row r="708" spans="1:14" x14ac:dyDescent="0.25">
      <c r="A708">
        <v>707</v>
      </c>
      <c r="B708" t="s">
        <v>1891</v>
      </c>
      <c r="C708" t="s">
        <v>1318</v>
      </c>
      <c r="D708" t="s">
        <v>1814</v>
      </c>
      <c r="E708">
        <v>1</v>
      </c>
      <c r="F708">
        <v>500</v>
      </c>
      <c r="G708">
        <v>500</v>
      </c>
      <c r="H708" s="9">
        <v>0.05</v>
      </c>
      <c r="I708">
        <v>86.74</v>
      </c>
      <c r="J708" s="10">
        <f t="shared" si="22"/>
        <v>10</v>
      </c>
      <c r="K708" s="11">
        <f t="shared" si="23"/>
        <v>0.17348</v>
      </c>
      <c r="L708" t="str">
        <f>VLOOKUP(C708,Customers!$A$2:$F$1001,2,FALSE())</f>
        <v>Richard Young</v>
      </c>
      <c r="M708" t="str">
        <f>VLOOKUP(C708,Customers!$A$2:$F$1001,3,FALSE())</f>
        <v>North</v>
      </c>
      <c r="N708" t="str">
        <f>VLOOKUP(C708,Customers!$A$2:$F$1001,4,FALSE())</f>
        <v>Home Office</v>
      </c>
    </row>
    <row r="709" spans="1:14" x14ac:dyDescent="0.25">
      <c r="A709">
        <v>708</v>
      </c>
      <c r="B709" t="s">
        <v>1834</v>
      </c>
      <c r="C709" t="s">
        <v>1319</v>
      </c>
      <c r="D709" t="s">
        <v>1812</v>
      </c>
      <c r="E709">
        <v>3</v>
      </c>
      <c r="F709">
        <v>300</v>
      </c>
      <c r="G709">
        <v>900</v>
      </c>
      <c r="H709" s="9">
        <v>0.1</v>
      </c>
      <c r="I709">
        <v>251.79</v>
      </c>
      <c r="J709" s="10">
        <f t="shared" si="22"/>
        <v>1</v>
      </c>
      <c r="K709" s="11">
        <f t="shared" si="23"/>
        <v>0.27976666666666666</v>
      </c>
      <c r="L709" t="str">
        <f>VLOOKUP(C709,Customers!$A$2:$F$1001,2,FALSE())</f>
        <v>Sandra Young</v>
      </c>
      <c r="M709" t="str">
        <f>VLOOKUP(C709,Customers!$A$2:$F$1001,3,FALSE())</f>
        <v>South</v>
      </c>
      <c r="N709" t="str">
        <f>VLOOKUP(C709,Customers!$A$2:$F$1001,4,FALSE())</f>
        <v>Consumer</v>
      </c>
    </row>
    <row r="710" spans="1:14" x14ac:dyDescent="0.25">
      <c r="A710">
        <v>709</v>
      </c>
      <c r="B710" t="s">
        <v>2128</v>
      </c>
      <c r="C710" t="s">
        <v>1321</v>
      </c>
      <c r="D710" t="s">
        <v>1816</v>
      </c>
      <c r="E710">
        <v>2</v>
      </c>
      <c r="F710">
        <v>500</v>
      </c>
      <c r="G710">
        <v>1000</v>
      </c>
      <c r="H710" s="9">
        <v>0.05</v>
      </c>
      <c r="I710">
        <v>5.63</v>
      </c>
      <c r="J710" s="10">
        <f t="shared" si="22"/>
        <v>7</v>
      </c>
      <c r="K710" s="11">
        <f t="shared" si="23"/>
        <v>5.6299999999999996E-3</v>
      </c>
      <c r="L710" t="str">
        <f>VLOOKUP(C710,Customers!$A$2:$F$1001,2,FALSE())</f>
        <v>Ashley Moore</v>
      </c>
      <c r="M710" t="str">
        <f>VLOOKUP(C710,Customers!$A$2:$F$1001,3,FALSE())</f>
        <v>West</v>
      </c>
      <c r="N710" t="str">
        <f>VLOOKUP(C710,Customers!$A$2:$F$1001,4,FALSE())</f>
        <v>Consumer</v>
      </c>
    </row>
    <row r="711" spans="1:14" x14ac:dyDescent="0.25">
      <c r="A711">
        <v>710</v>
      </c>
      <c r="B711" t="s">
        <v>2129</v>
      </c>
      <c r="C711" t="s">
        <v>1323</v>
      </c>
      <c r="D711" t="s">
        <v>1816</v>
      </c>
      <c r="E711">
        <v>3</v>
      </c>
      <c r="F711">
        <v>500</v>
      </c>
      <c r="G711">
        <v>1500</v>
      </c>
      <c r="H711" s="9">
        <v>0.1</v>
      </c>
      <c r="I711">
        <v>-0.12</v>
      </c>
      <c r="J711" s="10">
        <f t="shared" si="22"/>
        <v>10</v>
      </c>
      <c r="K711" s="11">
        <f t="shared" si="23"/>
        <v>-7.9999999999999993E-5</v>
      </c>
      <c r="L711" t="str">
        <f>VLOOKUP(C711,Customers!$A$2:$F$1001,2,FALSE())</f>
        <v>Carol Martin</v>
      </c>
      <c r="M711" t="str">
        <f>VLOOKUP(C711,Customers!$A$2:$F$1001,3,FALSE())</f>
        <v>South</v>
      </c>
      <c r="N711" t="str">
        <f>VLOOKUP(C711,Customers!$A$2:$F$1001,4,FALSE())</f>
        <v>Corporate</v>
      </c>
    </row>
    <row r="712" spans="1:14" x14ac:dyDescent="0.25">
      <c r="A712">
        <v>711</v>
      </c>
      <c r="B712" t="s">
        <v>2044</v>
      </c>
      <c r="C712" t="s">
        <v>1324</v>
      </c>
      <c r="D712" t="s">
        <v>1816</v>
      </c>
      <c r="E712">
        <v>3</v>
      </c>
      <c r="F712">
        <v>500</v>
      </c>
      <c r="G712">
        <v>1500</v>
      </c>
      <c r="H712" s="9">
        <v>0.15</v>
      </c>
      <c r="I712">
        <v>77.91</v>
      </c>
      <c r="J712" s="10">
        <f t="shared" si="22"/>
        <v>10</v>
      </c>
      <c r="K712" s="11">
        <f t="shared" si="23"/>
        <v>5.194E-2</v>
      </c>
      <c r="L712" t="str">
        <f>VLOOKUP(C712,Customers!$A$2:$F$1001,2,FALSE())</f>
        <v>Melissa Flores</v>
      </c>
      <c r="M712" t="str">
        <f>VLOOKUP(C712,Customers!$A$2:$F$1001,3,FALSE())</f>
        <v>West</v>
      </c>
      <c r="N712" t="str">
        <f>VLOOKUP(C712,Customers!$A$2:$F$1001,4,FALSE())</f>
        <v>Home Office</v>
      </c>
    </row>
    <row r="713" spans="1:14" x14ac:dyDescent="0.25">
      <c r="A713">
        <v>712</v>
      </c>
      <c r="B713" t="s">
        <v>2051</v>
      </c>
      <c r="C713" t="s">
        <v>1326</v>
      </c>
      <c r="D713" t="s">
        <v>1812</v>
      </c>
      <c r="E713">
        <v>2</v>
      </c>
      <c r="F713">
        <v>25</v>
      </c>
      <c r="G713">
        <v>50</v>
      </c>
      <c r="H713" s="9">
        <v>0.15</v>
      </c>
      <c r="I713">
        <v>9.39</v>
      </c>
      <c r="J713" s="10">
        <f t="shared" si="22"/>
        <v>12</v>
      </c>
      <c r="K713" s="11">
        <f t="shared" si="23"/>
        <v>0.18780000000000002</v>
      </c>
      <c r="L713" t="str">
        <f>VLOOKUP(C713,Customers!$A$2:$F$1001,2,FALSE())</f>
        <v>Sandra Clark</v>
      </c>
      <c r="M713" t="str">
        <f>VLOOKUP(C713,Customers!$A$2:$F$1001,3,FALSE())</f>
        <v>South</v>
      </c>
      <c r="N713" t="str">
        <f>VLOOKUP(C713,Customers!$A$2:$F$1001,4,FALSE())</f>
        <v>Consumer</v>
      </c>
    </row>
    <row r="714" spans="1:14" x14ac:dyDescent="0.25">
      <c r="A714">
        <v>713</v>
      </c>
      <c r="B714" t="s">
        <v>1834</v>
      </c>
      <c r="C714" t="s">
        <v>1327</v>
      </c>
      <c r="D714" t="s">
        <v>1812</v>
      </c>
      <c r="E714">
        <v>3</v>
      </c>
      <c r="F714">
        <v>25</v>
      </c>
      <c r="G714">
        <v>75</v>
      </c>
      <c r="H714" s="9">
        <v>0.25</v>
      </c>
      <c r="I714">
        <v>1.26</v>
      </c>
      <c r="J714" s="10">
        <f t="shared" si="22"/>
        <v>1</v>
      </c>
      <c r="K714" s="11">
        <f t="shared" si="23"/>
        <v>1.6799999999999999E-2</v>
      </c>
      <c r="L714" t="str">
        <f>VLOOKUP(C714,Customers!$A$2:$F$1001,2,FALSE())</f>
        <v>Richard Allen</v>
      </c>
      <c r="M714" t="str">
        <f>VLOOKUP(C714,Customers!$A$2:$F$1001,3,FALSE())</f>
        <v>West</v>
      </c>
      <c r="N714" t="str">
        <f>VLOOKUP(C714,Customers!$A$2:$F$1001,4,FALSE())</f>
        <v>Consumer</v>
      </c>
    </row>
    <row r="715" spans="1:14" x14ac:dyDescent="0.25">
      <c r="A715">
        <v>714</v>
      </c>
      <c r="B715" t="s">
        <v>2130</v>
      </c>
      <c r="C715" t="s">
        <v>1329</v>
      </c>
      <c r="D715" t="s">
        <v>1814</v>
      </c>
      <c r="E715">
        <v>1</v>
      </c>
      <c r="F715">
        <v>500</v>
      </c>
      <c r="G715">
        <v>500</v>
      </c>
      <c r="H715" s="9">
        <v>0.15</v>
      </c>
      <c r="I715">
        <v>34.369999999999997</v>
      </c>
      <c r="J715" s="10">
        <f t="shared" si="22"/>
        <v>2</v>
      </c>
      <c r="K715" s="11">
        <f t="shared" si="23"/>
        <v>6.8739999999999996E-2</v>
      </c>
      <c r="L715" t="str">
        <f>VLOOKUP(C715,Customers!$A$2:$F$1001,2,FALSE())</f>
        <v>Kimberly Torres</v>
      </c>
      <c r="M715" t="str">
        <f>VLOOKUP(C715,Customers!$A$2:$F$1001,3,FALSE())</f>
        <v>West</v>
      </c>
      <c r="N715" t="str">
        <f>VLOOKUP(C715,Customers!$A$2:$F$1001,4,FALSE())</f>
        <v>Consumer</v>
      </c>
    </row>
    <row r="716" spans="1:14" x14ac:dyDescent="0.25">
      <c r="A716">
        <v>715</v>
      </c>
      <c r="B716" t="s">
        <v>1909</v>
      </c>
      <c r="C716" t="s">
        <v>1330</v>
      </c>
      <c r="D716" t="s">
        <v>1812</v>
      </c>
      <c r="E716">
        <v>4</v>
      </c>
      <c r="F716">
        <v>25</v>
      </c>
      <c r="G716">
        <v>100</v>
      </c>
      <c r="H716" s="9">
        <v>0.15</v>
      </c>
      <c r="I716">
        <v>17.2</v>
      </c>
      <c r="J716" s="10">
        <f t="shared" si="22"/>
        <v>11</v>
      </c>
      <c r="K716" s="11">
        <f t="shared" si="23"/>
        <v>0.17199999999999999</v>
      </c>
      <c r="L716" t="str">
        <f>VLOOKUP(C716,Customers!$A$2:$F$1001,2,FALSE())</f>
        <v>Susan Young</v>
      </c>
      <c r="M716" t="str">
        <f>VLOOKUP(C716,Customers!$A$2:$F$1001,3,FALSE())</f>
        <v>South</v>
      </c>
      <c r="N716" t="str">
        <f>VLOOKUP(C716,Customers!$A$2:$F$1001,4,FALSE())</f>
        <v>Home Office</v>
      </c>
    </row>
    <row r="717" spans="1:14" x14ac:dyDescent="0.25">
      <c r="A717">
        <v>716</v>
      </c>
      <c r="B717" t="s">
        <v>1916</v>
      </c>
      <c r="C717" t="s">
        <v>1331</v>
      </c>
      <c r="D717" t="s">
        <v>1814</v>
      </c>
      <c r="E717">
        <v>4</v>
      </c>
      <c r="F717">
        <v>300</v>
      </c>
      <c r="G717">
        <v>1200</v>
      </c>
      <c r="H717" s="9">
        <v>0.15</v>
      </c>
      <c r="I717">
        <v>114.46</v>
      </c>
      <c r="J717" s="10">
        <f t="shared" si="22"/>
        <v>8</v>
      </c>
      <c r="K717" s="11">
        <f t="shared" si="23"/>
        <v>9.5383333333333334E-2</v>
      </c>
      <c r="L717" t="str">
        <f>VLOOKUP(C717,Customers!$A$2:$F$1001,2,FALSE())</f>
        <v>Lisa Davis</v>
      </c>
      <c r="M717" t="str">
        <f>VLOOKUP(C717,Customers!$A$2:$F$1001,3,FALSE())</f>
        <v>East</v>
      </c>
      <c r="N717" t="str">
        <f>VLOOKUP(C717,Customers!$A$2:$F$1001,4,FALSE())</f>
        <v>Consumer</v>
      </c>
    </row>
    <row r="718" spans="1:14" x14ac:dyDescent="0.25">
      <c r="A718">
        <v>717</v>
      </c>
      <c r="B718" t="s">
        <v>2131</v>
      </c>
      <c r="C718" t="s">
        <v>1333</v>
      </c>
      <c r="D718" t="s">
        <v>1814</v>
      </c>
      <c r="E718">
        <v>1</v>
      </c>
      <c r="F718">
        <v>500</v>
      </c>
      <c r="G718">
        <v>500</v>
      </c>
      <c r="H718" s="9">
        <v>0.1</v>
      </c>
      <c r="I718">
        <v>92.59</v>
      </c>
      <c r="J718" s="10">
        <f t="shared" si="22"/>
        <v>3</v>
      </c>
      <c r="K718" s="11">
        <f t="shared" si="23"/>
        <v>0.18518000000000001</v>
      </c>
      <c r="L718" t="str">
        <f>VLOOKUP(C718,Customers!$A$2:$F$1001,2,FALSE())</f>
        <v>David Thompson</v>
      </c>
      <c r="M718" t="str">
        <f>VLOOKUP(C718,Customers!$A$2:$F$1001,3,FALSE())</f>
        <v>South</v>
      </c>
      <c r="N718" t="str">
        <f>VLOOKUP(C718,Customers!$A$2:$F$1001,4,FALSE())</f>
        <v>Corporate</v>
      </c>
    </row>
    <row r="719" spans="1:14" x14ac:dyDescent="0.25">
      <c r="A719">
        <v>718</v>
      </c>
      <c r="B719" t="s">
        <v>1892</v>
      </c>
      <c r="C719" t="s">
        <v>1334</v>
      </c>
      <c r="D719" t="s">
        <v>1812</v>
      </c>
      <c r="E719">
        <v>3</v>
      </c>
      <c r="F719">
        <v>25</v>
      </c>
      <c r="G719">
        <v>75</v>
      </c>
      <c r="H719" s="9">
        <v>0.15</v>
      </c>
      <c r="I719">
        <v>13.62</v>
      </c>
      <c r="J719" s="10">
        <f t="shared" si="22"/>
        <v>8</v>
      </c>
      <c r="K719" s="11">
        <f t="shared" si="23"/>
        <v>0.18159999999999998</v>
      </c>
      <c r="L719" t="str">
        <f>VLOOKUP(C719,Customers!$A$2:$F$1001,2,FALSE())</f>
        <v>Jessica Jones</v>
      </c>
      <c r="M719" t="str">
        <f>VLOOKUP(C719,Customers!$A$2:$F$1001,3,FALSE())</f>
        <v>East</v>
      </c>
      <c r="N719" t="str">
        <f>VLOOKUP(C719,Customers!$A$2:$F$1001,4,FALSE())</f>
        <v>Home Office</v>
      </c>
    </row>
    <row r="720" spans="1:14" x14ac:dyDescent="0.25">
      <c r="A720">
        <v>719</v>
      </c>
      <c r="B720" t="s">
        <v>2008</v>
      </c>
      <c r="C720" t="s">
        <v>1335</v>
      </c>
      <c r="D720" t="s">
        <v>1814</v>
      </c>
      <c r="E720">
        <v>2</v>
      </c>
      <c r="F720">
        <v>30</v>
      </c>
      <c r="G720">
        <v>60</v>
      </c>
      <c r="H720" s="9">
        <v>0.2</v>
      </c>
      <c r="I720">
        <v>-0.37</v>
      </c>
      <c r="J720" s="10">
        <f t="shared" si="22"/>
        <v>4</v>
      </c>
      <c r="K720" s="11">
        <f t="shared" si="23"/>
        <v>-6.1666666666666667E-3</v>
      </c>
      <c r="L720" t="str">
        <f>VLOOKUP(C720,Customers!$A$2:$F$1001,2,FALSE())</f>
        <v>Nancy Clark</v>
      </c>
      <c r="M720" t="str">
        <f>VLOOKUP(C720,Customers!$A$2:$F$1001,3,FALSE())</f>
        <v>East</v>
      </c>
      <c r="N720" t="str">
        <f>VLOOKUP(C720,Customers!$A$2:$F$1001,4,FALSE())</f>
        <v>Consumer</v>
      </c>
    </row>
    <row r="721" spans="1:14" x14ac:dyDescent="0.25">
      <c r="A721">
        <v>720</v>
      </c>
      <c r="B721" t="s">
        <v>2011</v>
      </c>
      <c r="C721" t="s">
        <v>1336</v>
      </c>
      <c r="D721" t="s">
        <v>1812</v>
      </c>
      <c r="E721">
        <v>3</v>
      </c>
      <c r="F721">
        <v>500</v>
      </c>
      <c r="G721">
        <v>1500</v>
      </c>
      <c r="H721" s="9">
        <v>0.05</v>
      </c>
      <c r="I721">
        <v>470.42</v>
      </c>
      <c r="J721" s="10">
        <f t="shared" si="22"/>
        <v>1</v>
      </c>
      <c r="K721" s="11">
        <f t="shared" si="23"/>
        <v>0.31361333333333336</v>
      </c>
      <c r="L721" t="str">
        <f>VLOOKUP(C721,Customers!$A$2:$F$1001,2,FALSE())</f>
        <v>Jessica Hill</v>
      </c>
      <c r="M721" t="str">
        <f>VLOOKUP(C721,Customers!$A$2:$F$1001,3,FALSE())</f>
        <v>West</v>
      </c>
      <c r="N721" t="str">
        <f>VLOOKUP(C721,Customers!$A$2:$F$1001,4,FALSE())</f>
        <v>Corporate</v>
      </c>
    </row>
    <row r="722" spans="1:14" x14ac:dyDescent="0.25">
      <c r="A722">
        <v>721</v>
      </c>
      <c r="B722" t="s">
        <v>2038</v>
      </c>
      <c r="C722" t="s">
        <v>1337</v>
      </c>
      <c r="D722" t="s">
        <v>1814</v>
      </c>
      <c r="E722">
        <v>1</v>
      </c>
      <c r="F722">
        <v>500</v>
      </c>
      <c r="G722">
        <v>500</v>
      </c>
      <c r="H722" s="9">
        <v>0.1</v>
      </c>
      <c r="I722">
        <v>54.53</v>
      </c>
      <c r="J722" s="10">
        <f t="shared" si="22"/>
        <v>5</v>
      </c>
      <c r="K722" s="11">
        <f t="shared" si="23"/>
        <v>0.10906</v>
      </c>
      <c r="L722" t="str">
        <f>VLOOKUP(C722,Customers!$A$2:$F$1001,2,FALSE())</f>
        <v>Joshua Lee</v>
      </c>
      <c r="M722" t="str">
        <f>VLOOKUP(C722,Customers!$A$2:$F$1001,3,FALSE())</f>
        <v>North</v>
      </c>
      <c r="N722" t="str">
        <f>VLOOKUP(C722,Customers!$A$2:$F$1001,4,FALSE())</f>
        <v>Corporate</v>
      </c>
    </row>
    <row r="723" spans="1:14" x14ac:dyDescent="0.25">
      <c r="A723">
        <v>722</v>
      </c>
      <c r="B723" t="s">
        <v>1851</v>
      </c>
      <c r="C723" t="s">
        <v>1339</v>
      </c>
      <c r="D723" t="s">
        <v>1812</v>
      </c>
      <c r="E723">
        <v>3</v>
      </c>
      <c r="F723">
        <v>300</v>
      </c>
      <c r="G723">
        <v>900</v>
      </c>
      <c r="H723" s="9">
        <v>0.05</v>
      </c>
      <c r="I723">
        <v>233.1</v>
      </c>
      <c r="J723" s="10">
        <f t="shared" si="22"/>
        <v>7</v>
      </c>
      <c r="K723" s="11">
        <f t="shared" si="23"/>
        <v>0.25900000000000001</v>
      </c>
      <c r="L723" t="str">
        <f>VLOOKUP(C723,Customers!$A$2:$F$1001,2,FALSE())</f>
        <v>George Moore</v>
      </c>
      <c r="M723" t="str">
        <f>VLOOKUP(C723,Customers!$A$2:$F$1001,3,FALSE())</f>
        <v>North</v>
      </c>
      <c r="N723" t="str">
        <f>VLOOKUP(C723,Customers!$A$2:$F$1001,4,FALSE())</f>
        <v>Home Office</v>
      </c>
    </row>
    <row r="724" spans="1:14" x14ac:dyDescent="0.25">
      <c r="A724">
        <v>723</v>
      </c>
      <c r="B724" t="s">
        <v>2092</v>
      </c>
      <c r="C724" t="s">
        <v>1340</v>
      </c>
      <c r="D724" t="s">
        <v>1812</v>
      </c>
      <c r="E724">
        <v>4</v>
      </c>
      <c r="F724">
        <v>50</v>
      </c>
      <c r="G724">
        <v>200</v>
      </c>
      <c r="H724" s="9">
        <v>0.15</v>
      </c>
      <c r="I724">
        <v>23.44</v>
      </c>
      <c r="J724" s="10">
        <f t="shared" si="22"/>
        <v>6</v>
      </c>
      <c r="K724" s="11">
        <f t="shared" si="23"/>
        <v>0.11720000000000001</v>
      </c>
      <c r="L724" t="str">
        <f>VLOOKUP(C724,Customers!$A$2:$F$1001,2,FALSE())</f>
        <v>Michael Johnson</v>
      </c>
      <c r="M724" t="str">
        <f>VLOOKUP(C724,Customers!$A$2:$F$1001,3,FALSE())</f>
        <v>East</v>
      </c>
      <c r="N724" t="str">
        <f>VLOOKUP(C724,Customers!$A$2:$F$1001,4,FALSE())</f>
        <v>Consumer</v>
      </c>
    </row>
    <row r="725" spans="1:14" x14ac:dyDescent="0.25">
      <c r="A725">
        <v>724</v>
      </c>
      <c r="B725" t="s">
        <v>1904</v>
      </c>
      <c r="C725" t="s">
        <v>1342</v>
      </c>
      <c r="D725" t="s">
        <v>1814</v>
      </c>
      <c r="E725">
        <v>3</v>
      </c>
      <c r="F725">
        <v>50</v>
      </c>
      <c r="G725">
        <v>150</v>
      </c>
      <c r="H725" s="9">
        <v>0.05</v>
      </c>
      <c r="I725">
        <v>21.46</v>
      </c>
      <c r="J725" s="10">
        <f t="shared" si="22"/>
        <v>4</v>
      </c>
      <c r="K725" s="11">
        <f t="shared" si="23"/>
        <v>0.14306666666666668</v>
      </c>
      <c r="L725" t="str">
        <f>VLOOKUP(C725,Customers!$A$2:$F$1001,2,FALSE())</f>
        <v>George Hill</v>
      </c>
      <c r="M725" t="str">
        <f>VLOOKUP(C725,Customers!$A$2:$F$1001,3,FALSE())</f>
        <v>East</v>
      </c>
      <c r="N725" t="str">
        <f>VLOOKUP(C725,Customers!$A$2:$F$1001,4,FALSE())</f>
        <v>Consumer</v>
      </c>
    </row>
    <row r="726" spans="1:14" x14ac:dyDescent="0.25">
      <c r="A726">
        <v>725</v>
      </c>
      <c r="B726" t="s">
        <v>1877</v>
      </c>
      <c r="C726" t="s">
        <v>1344</v>
      </c>
      <c r="D726" t="s">
        <v>1816</v>
      </c>
      <c r="E726">
        <v>1</v>
      </c>
      <c r="F726">
        <v>300</v>
      </c>
      <c r="G726">
        <v>300</v>
      </c>
      <c r="H726" s="9">
        <v>0.15</v>
      </c>
      <c r="I726">
        <v>-15</v>
      </c>
      <c r="J726" s="10">
        <f t="shared" si="22"/>
        <v>8</v>
      </c>
      <c r="K726" s="11">
        <f t="shared" si="23"/>
        <v>-0.05</v>
      </c>
      <c r="L726" t="str">
        <f>VLOOKUP(C726,Customers!$A$2:$F$1001,2,FALSE())</f>
        <v>Andrew Jones</v>
      </c>
      <c r="M726" t="str">
        <f>VLOOKUP(C726,Customers!$A$2:$F$1001,3,FALSE())</f>
        <v>South</v>
      </c>
      <c r="N726" t="str">
        <f>VLOOKUP(C726,Customers!$A$2:$F$1001,4,FALSE())</f>
        <v>Consumer</v>
      </c>
    </row>
    <row r="727" spans="1:14" x14ac:dyDescent="0.25">
      <c r="A727">
        <v>726</v>
      </c>
      <c r="B727" t="s">
        <v>2092</v>
      </c>
      <c r="C727" t="s">
        <v>1346</v>
      </c>
      <c r="D727" t="s">
        <v>1814</v>
      </c>
      <c r="E727">
        <v>4</v>
      </c>
      <c r="F727">
        <v>300</v>
      </c>
      <c r="G727">
        <v>1200</v>
      </c>
      <c r="H727" s="9">
        <v>0.15</v>
      </c>
      <c r="I727">
        <v>41.6</v>
      </c>
      <c r="J727" s="10">
        <f t="shared" si="22"/>
        <v>6</v>
      </c>
      <c r="K727" s="11">
        <f t="shared" si="23"/>
        <v>3.4666666666666665E-2</v>
      </c>
      <c r="L727" t="str">
        <f>VLOOKUP(C727,Customers!$A$2:$F$1001,2,FALSE())</f>
        <v>Joseph Johnson</v>
      </c>
      <c r="M727" t="str">
        <f>VLOOKUP(C727,Customers!$A$2:$F$1001,3,FALSE())</f>
        <v>North</v>
      </c>
      <c r="N727" t="str">
        <f>VLOOKUP(C727,Customers!$A$2:$F$1001,4,FALSE())</f>
        <v>Corporate</v>
      </c>
    </row>
    <row r="728" spans="1:14" x14ac:dyDescent="0.25">
      <c r="A728">
        <v>727</v>
      </c>
      <c r="B728" t="s">
        <v>1850</v>
      </c>
      <c r="C728" t="s">
        <v>1347</v>
      </c>
      <c r="D728" t="s">
        <v>1812</v>
      </c>
      <c r="E728">
        <v>3</v>
      </c>
      <c r="F728">
        <v>300</v>
      </c>
      <c r="G728">
        <v>900</v>
      </c>
      <c r="H728" s="9">
        <v>0.25</v>
      </c>
      <c r="I728">
        <v>53.46</v>
      </c>
      <c r="J728" s="10">
        <f t="shared" si="22"/>
        <v>6</v>
      </c>
      <c r="K728" s="11">
        <f t="shared" si="23"/>
        <v>5.9400000000000001E-2</v>
      </c>
      <c r="L728" t="str">
        <f>VLOOKUP(C728,Customers!$A$2:$F$1001,2,FALSE())</f>
        <v>Robert Martinez</v>
      </c>
      <c r="M728" t="str">
        <f>VLOOKUP(C728,Customers!$A$2:$F$1001,3,FALSE())</f>
        <v>South</v>
      </c>
      <c r="N728" t="str">
        <f>VLOOKUP(C728,Customers!$A$2:$F$1001,4,FALSE())</f>
        <v>Corporate</v>
      </c>
    </row>
    <row r="729" spans="1:14" x14ac:dyDescent="0.25">
      <c r="A729">
        <v>728</v>
      </c>
      <c r="B729" t="s">
        <v>1851</v>
      </c>
      <c r="C729" t="s">
        <v>1349</v>
      </c>
      <c r="D729" t="s">
        <v>1816</v>
      </c>
      <c r="E729">
        <v>3</v>
      </c>
      <c r="F729">
        <v>50</v>
      </c>
      <c r="G729">
        <v>150</v>
      </c>
      <c r="H729" s="9">
        <v>0</v>
      </c>
      <c r="I729">
        <v>17.100000000000001</v>
      </c>
      <c r="J729" s="10">
        <f t="shared" si="22"/>
        <v>7</v>
      </c>
      <c r="K729" s="11">
        <f t="shared" si="23"/>
        <v>0.114</v>
      </c>
      <c r="L729" t="str">
        <f>VLOOKUP(C729,Customers!$A$2:$F$1001,2,FALSE())</f>
        <v>Mark Williams</v>
      </c>
      <c r="M729" t="str">
        <f>VLOOKUP(C729,Customers!$A$2:$F$1001,3,FALSE())</f>
        <v>West</v>
      </c>
      <c r="N729" t="str">
        <f>VLOOKUP(C729,Customers!$A$2:$F$1001,4,FALSE())</f>
        <v>Consumer</v>
      </c>
    </row>
    <row r="730" spans="1:14" x14ac:dyDescent="0.25">
      <c r="A730">
        <v>729</v>
      </c>
      <c r="B730" t="s">
        <v>1843</v>
      </c>
      <c r="C730" t="s">
        <v>1351</v>
      </c>
      <c r="D730" t="s">
        <v>1814</v>
      </c>
      <c r="E730">
        <v>4</v>
      </c>
      <c r="F730">
        <v>300</v>
      </c>
      <c r="G730">
        <v>1200</v>
      </c>
      <c r="H730" s="9">
        <v>0.1</v>
      </c>
      <c r="I730">
        <v>42.83</v>
      </c>
      <c r="J730" s="10">
        <f t="shared" si="22"/>
        <v>5</v>
      </c>
      <c r="K730" s="11">
        <f t="shared" si="23"/>
        <v>3.5691666666666663E-2</v>
      </c>
      <c r="L730" t="str">
        <f>VLOOKUP(C730,Customers!$A$2:$F$1001,2,FALSE())</f>
        <v>Deborah Jackson</v>
      </c>
      <c r="M730" t="str">
        <f>VLOOKUP(C730,Customers!$A$2:$F$1001,3,FALSE())</f>
        <v>North</v>
      </c>
      <c r="N730" t="str">
        <f>VLOOKUP(C730,Customers!$A$2:$F$1001,4,FALSE())</f>
        <v>Consumer</v>
      </c>
    </row>
    <row r="731" spans="1:14" x14ac:dyDescent="0.25">
      <c r="A731">
        <v>730</v>
      </c>
      <c r="B731" t="s">
        <v>2093</v>
      </c>
      <c r="C731" t="s">
        <v>1353</v>
      </c>
      <c r="D731" t="s">
        <v>1814</v>
      </c>
      <c r="E731">
        <v>2</v>
      </c>
      <c r="F731">
        <v>25</v>
      </c>
      <c r="G731">
        <v>50</v>
      </c>
      <c r="H731" s="9">
        <v>0.15</v>
      </c>
      <c r="I731">
        <v>1.93</v>
      </c>
      <c r="J731" s="10">
        <f t="shared" si="22"/>
        <v>8</v>
      </c>
      <c r="K731" s="11">
        <f t="shared" si="23"/>
        <v>3.8599999999999995E-2</v>
      </c>
      <c r="L731" t="str">
        <f>VLOOKUP(C731,Customers!$A$2:$F$1001,2,FALSE())</f>
        <v>Susan Lee</v>
      </c>
      <c r="M731" t="str">
        <f>VLOOKUP(C731,Customers!$A$2:$F$1001,3,FALSE())</f>
        <v>South</v>
      </c>
      <c r="N731" t="str">
        <f>VLOOKUP(C731,Customers!$A$2:$F$1001,4,FALSE())</f>
        <v>Home Office</v>
      </c>
    </row>
    <row r="732" spans="1:14" x14ac:dyDescent="0.25">
      <c r="A732">
        <v>731</v>
      </c>
      <c r="B732" t="s">
        <v>2132</v>
      </c>
      <c r="C732" t="s">
        <v>1355</v>
      </c>
      <c r="D732" t="s">
        <v>1814</v>
      </c>
      <c r="E732">
        <v>4</v>
      </c>
      <c r="F732">
        <v>500</v>
      </c>
      <c r="G732">
        <v>2000</v>
      </c>
      <c r="H732" s="9">
        <v>0.2</v>
      </c>
      <c r="I732">
        <v>-8.31</v>
      </c>
      <c r="J732" s="10">
        <f t="shared" si="22"/>
        <v>5</v>
      </c>
      <c r="K732" s="11">
        <f t="shared" si="23"/>
        <v>-4.1549999999999998E-3</v>
      </c>
      <c r="L732" t="str">
        <f>VLOOKUP(C732,Customers!$A$2:$F$1001,2,FALSE())</f>
        <v>Michelle Gonzalez</v>
      </c>
      <c r="M732" t="str">
        <f>VLOOKUP(C732,Customers!$A$2:$F$1001,3,FALSE())</f>
        <v>West</v>
      </c>
      <c r="N732" t="str">
        <f>VLOOKUP(C732,Customers!$A$2:$F$1001,4,FALSE())</f>
        <v>Consumer</v>
      </c>
    </row>
    <row r="733" spans="1:14" x14ac:dyDescent="0.25">
      <c r="A733">
        <v>732</v>
      </c>
      <c r="B733" t="s">
        <v>2027</v>
      </c>
      <c r="C733" t="s">
        <v>1356</v>
      </c>
      <c r="D733" t="s">
        <v>1816</v>
      </c>
      <c r="E733">
        <v>2</v>
      </c>
      <c r="F733">
        <v>500</v>
      </c>
      <c r="G733">
        <v>1000</v>
      </c>
      <c r="H733" s="9">
        <v>0.2</v>
      </c>
      <c r="I733">
        <v>-50</v>
      </c>
      <c r="J733" s="10">
        <f t="shared" si="22"/>
        <v>2</v>
      </c>
      <c r="K733" s="11">
        <f t="shared" si="23"/>
        <v>-0.05</v>
      </c>
      <c r="L733" t="str">
        <f>VLOOKUP(C733,Customers!$A$2:$F$1001,2,FALSE())</f>
        <v>Robert Williams</v>
      </c>
      <c r="M733" t="str">
        <f>VLOOKUP(C733,Customers!$A$2:$F$1001,3,FALSE())</f>
        <v>North</v>
      </c>
      <c r="N733" t="str">
        <f>VLOOKUP(C733,Customers!$A$2:$F$1001,4,FALSE())</f>
        <v>Consumer</v>
      </c>
    </row>
    <row r="734" spans="1:14" x14ac:dyDescent="0.25">
      <c r="A734">
        <v>733</v>
      </c>
      <c r="B734" t="s">
        <v>2075</v>
      </c>
      <c r="C734" t="s">
        <v>1357</v>
      </c>
      <c r="D734" t="s">
        <v>1812</v>
      </c>
      <c r="E734">
        <v>1</v>
      </c>
      <c r="F734">
        <v>30</v>
      </c>
      <c r="G734">
        <v>30</v>
      </c>
      <c r="H734" s="9">
        <v>0.1</v>
      </c>
      <c r="I734">
        <v>8.27</v>
      </c>
      <c r="J734" s="10">
        <f t="shared" si="22"/>
        <v>8</v>
      </c>
      <c r="K734" s="11">
        <f t="shared" si="23"/>
        <v>0.27566666666666667</v>
      </c>
      <c r="L734" t="str">
        <f>VLOOKUP(C734,Customers!$A$2:$F$1001,2,FALSE())</f>
        <v>Kevin Jones</v>
      </c>
      <c r="M734" t="str">
        <f>VLOOKUP(C734,Customers!$A$2:$F$1001,3,FALSE())</f>
        <v>East</v>
      </c>
      <c r="N734" t="str">
        <f>VLOOKUP(C734,Customers!$A$2:$F$1001,4,FALSE())</f>
        <v>Corporate</v>
      </c>
    </row>
    <row r="735" spans="1:14" x14ac:dyDescent="0.25">
      <c r="A735">
        <v>734</v>
      </c>
      <c r="B735" t="s">
        <v>1955</v>
      </c>
      <c r="C735" t="s">
        <v>1358</v>
      </c>
      <c r="D735" t="s">
        <v>1814</v>
      </c>
      <c r="E735">
        <v>1</v>
      </c>
      <c r="F735">
        <v>30</v>
      </c>
      <c r="G735">
        <v>30</v>
      </c>
      <c r="H735" s="9">
        <v>0.1</v>
      </c>
      <c r="I735">
        <v>3.35</v>
      </c>
      <c r="J735" s="10">
        <f t="shared" si="22"/>
        <v>1</v>
      </c>
      <c r="K735" s="11">
        <f t="shared" si="23"/>
        <v>0.11166666666666666</v>
      </c>
      <c r="L735" t="str">
        <f>VLOOKUP(C735,Customers!$A$2:$F$1001,2,FALSE())</f>
        <v>Ashley Thomas</v>
      </c>
      <c r="M735" t="str">
        <f>VLOOKUP(C735,Customers!$A$2:$F$1001,3,FALSE())</f>
        <v>North</v>
      </c>
      <c r="N735" t="str">
        <f>VLOOKUP(C735,Customers!$A$2:$F$1001,4,FALSE())</f>
        <v>Consumer</v>
      </c>
    </row>
    <row r="736" spans="1:14" x14ac:dyDescent="0.25">
      <c r="A736">
        <v>735</v>
      </c>
      <c r="B736" t="s">
        <v>1949</v>
      </c>
      <c r="C736" t="s">
        <v>1360</v>
      </c>
      <c r="D736" t="s">
        <v>1814</v>
      </c>
      <c r="E736">
        <v>4</v>
      </c>
      <c r="F736">
        <v>500</v>
      </c>
      <c r="G736">
        <v>2000</v>
      </c>
      <c r="H736" s="9">
        <v>0</v>
      </c>
      <c r="I736">
        <v>552.86</v>
      </c>
      <c r="J736" s="10">
        <f t="shared" si="22"/>
        <v>10</v>
      </c>
      <c r="K736" s="11">
        <f t="shared" si="23"/>
        <v>0.27643000000000001</v>
      </c>
      <c r="L736" t="str">
        <f>VLOOKUP(C736,Customers!$A$2:$F$1001,2,FALSE())</f>
        <v>Joshua Williams</v>
      </c>
      <c r="M736" t="str">
        <f>VLOOKUP(C736,Customers!$A$2:$F$1001,3,FALSE())</f>
        <v>West</v>
      </c>
      <c r="N736" t="str">
        <f>VLOOKUP(C736,Customers!$A$2:$F$1001,4,FALSE())</f>
        <v>Consumer</v>
      </c>
    </row>
    <row r="737" spans="1:14" x14ac:dyDescent="0.25">
      <c r="A737">
        <v>736</v>
      </c>
      <c r="B737" t="s">
        <v>2060</v>
      </c>
      <c r="C737" t="s">
        <v>1362</v>
      </c>
      <c r="D737" t="s">
        <v>1814</v>
      </c>
      <c r="E737">
        <v>4</v>
      </c>
      <c r="F737">
        <v>25</v>
      </c>
      <c r="G737">
        <v>100</v>
      </c>
      <c r="H737" s="9">
        <v>0.25</v>
      </c>
      <c r="I737">
        <v>-5</v>
      </c>
      <c r="J737" s="10">
        <f t="shared" si="22"/>
        <v>1</v>
      </c>
      <c r="K737" s="11">
        <f t="shared" si="23"/>
        <v>-0.05</v>
      </c>
      <c r="L737" t="str">
        <f>VLOOKUP(C737,Customers!$A$2:$F$1001,2,FALSE())</f>
        <v>Brian Ramirez</v>
      </c>
      <c r="M737" t="str">
        <f>VLOOKUP(C737,Customers!$A$2:$F$1001,3,FALSE())</f>
        <v>East</v>
      </c>
      <c r="N737" t="str">
        <f>VLOOKUP(C737,Customers!$A$2:$F$1001,4,FALSE())</f>
        <v>Consumer</v>
      </c>
    </row>
    <row r="738" spans="1:14" x14ac:dyDescent="0.25">
      <c r="A738">
        <v>737</v>
      </c>
      <c r="B738" t="s">
        <v>2077</v>
      </c>
      <c r="C738" t="s">
        <v>1364</v>
      </c>
      <c r="D738" t="s">
        <v>1814</v>
      </c>
      <c r="E738">
        <v>1</v>
      </c>
      <c r="F738">
        <v>50</v>
      </c>
      <c r="G738">
        <v>50</v>
      </c>
      <c r="H738" s="9">
        <v>0</v>
      </c>
      <c r="I738">
        <v>12.44</v>
      </c>
      <c r="J738" s="10">
        <f t="shared" si="22"/>
        <v>6</v>
      </c>
      <c r="K738" s="11">
        <f t="shared" si="23"/>
        <v>0.24879999999999999</v>
      </c>
      <c r="L738" t="str">
        <f>VLOOKUP(C738,Customers!$A$2:$F$1001,2,FALSE())</f>
        <v>Daniel Rodriguez</v>
      </c>
      <c r="M738" t="str">
        <f>VLOOKUP(C738,Customers!$A$2:$F$1001,3,FALSE())</f>
        <v>West</v>
      </c>
      <c r="N738" t="str">
        <f>VLOOKUP(C738,Customers!$A$2:$F$1001,4,FALSE())</f>
        <v>Consumer</v>
      </c>
    </row>
    <row r="739" spans="1:14" x14ac:dyDescent="0.25">
      <c r="A739">
        <v>738</v>
      </c>
      <c r="B739" t="s">
        <v>1819</v>
      </c>
      <c r="C739" t="s">
        <v>1365</v>
      </c>
      <c r="D739" t="s">
        <v>1814</v>
      </c>
      <c r="E739">
        <v>2</v>
      </c>
      <c r="F739">
        <v>50</v>
      </c>
      <c r="G739">
        <v>100</v>
      </c>
      <c r="H739" s="9">
        <v>0.1</v>
      </c>
      <c r="I739">
        <v>10.49</v>
      </c>
      <c r="J739" s="10">
        <f t="shared" si="22"/>
        <v>4</v>
      </c>
      <c r="K739" s="11">
        <f t="shared" si="23"/>
        <v>0.10490000000000001</v>
      </c>
      <c r="L739" t="str">
        <f>VLOOKUP(C739,Customers!$A$2:$F$1001,2,FALSE())</f>
        <v>Edward Gonzalez</v>
      </c>
      <c r="M739" t="str">
        <f>VLOOKUP(C739,Customers!$A$2:$F$1001,3,FALSE())</f>
        <v>North</v>
      </c>
      <c r="N739" t="str">
        <f>VLOOKUP(C739,Customers!$A$2:$F$1001,4,FALSE())</f>
        <v>Corporate</v>
      </c>
    </row>
    <row r="740" spans="1:14" x14ac:dyDescent="0.25">
      <c r="A740">
        <v>739</v>
      </c>
      <c r="B740" t="s">
        <v>1837</v>
      </c>
      <c r="C740" t="s">
        <v>1366</v>
      </c>
      <c r="D740" t="s">
        <v>1812</v>
      </c>
      <c r="E740">
        <v>1</v>
      </c>
      <c r="F740">
        <v>25</v>
      </c>
      <c r="G740">
        <v>25</v>
      </c>
      <c r="H740" s="9">
        <v>0.15</v>
      </c>
      <c r="I740">
        <v>4.21</v>
      </c>
      <c r="J740" s="10">
        <f t="shared" si="22"/>
        <v>11</v>
      </c>
      <c r="K740" s="11">
        <f t="shared" si="23"/>
        <v>0.16839999999999999</v>
      </c>
      <c r="L740" t="str">
        <f>VLOOKUP(C740,Customers!$A$2:$F$1001,2,FALSE())</f>
        <v>Matthew Thomas</v>
      </c>
      <c r="M740" t="str">
        <f>VLOOKUP(C740,Customers!$A$2:$F$1001,3,FALSE())</f>
        <v>East</v>
      </c>
      <c r="N740" t="str">
        <f>VLOOKUP(C740,Customers!$A$2:$F$1001,4,FALSE())</f>
        <v>Corporate</v>
      </c>
    </row>
    <row r="741" spans="1:14" x14ac:dyDescent="0.25">
      <c r="A741">
        <v>740</v>
      </c>
      <c r="B741" t="s">
        <v>1871</v>
      </c>
      <c r="C741" t="s">
        <v>1368</v>
      </c>
      <c r="D741" t="s">
        <v>1812</v>
      </c>
      <c r="E741">
        <v>4</v>
      </c>
      <c r="F741">
        <v>50</v>
      </c>
      <c r="G741">
        <v>200</v>
      </c>
      <c r="H741" s="9">
        <v>0.05</v>
      </c>
      <c r="I741">
        <v>53.41</v>
      </c>
      <c r="J741" s="10">
        <f t="shared" si="22"/>
        <v>2</v>
      </c>
      <c r="K741" s="11">
        <f t="shared" si="23"/>
        <v>0.26705000000000001</v>
      </c>
      <c r="L741" t="str">
        <f>VLOOKUP(C741,Customers!$A$2:$F$1001,2,FALSE())</f>
        <v>Barbara Taylor</v>
      </c>
      <c r="M741" t="str">
        <f>VLOOKUP(C741,Customers!$A$2:$F$1001,3,FALSE())</f>
        <v>East</v>
      </c>
      <c r="N741" t="str">
        <f>VLOOKUP(C741,Customers!$A$2:$F$1001,4,FALSE())</f>
        <v>Corporate</v>
      </c>
    </row>
    <row r="742" spans="1:14" x14ac:dyDescent="0.25">
      <c r="A742">
        <v>741</v>
      </c>
      <c r="B742" t="s">
        <v>2012</v>
      </c>
      <c r="C742" t="s">
        <v>1370</v>
      </c>
      <c r="D742" t="s">
        <v>1814</v>
      </c>
      <c r="E742">
        <v>1</v>
      </c>
      <c r="F742">
        <v>300</v>
      </c>
      <c r="G742">
        <v>300</v>
      </c>
      <c r="H742" s="9">
        <v>0</v>
      </c>
      <c r="I742">
        <v>76.53</v>
      </c>
      <c r="J742" s="10">
        <f t="shared" si="22"/>
        <v>11</v>
      </c>
      <c r="K742" s="11">
        <f t="shared" si="23"/>
        <v>0.25509999999999999</v>
      </c>
      <c r="L742" t="str">
        <f>VLOOKUP(C742,Customers!$A$2:$F$1001,2,FALSE())</f>
        <v>Linda Smith</v>
      </c>
      <c r="M742" t="str">
        <f>VLOOKUP(C742,Customers!$A$2:$F$1001,3,FALSE())</f>
        <v>North</v>
      </c>
      <c r="N742" t="str">
        <f>VLOOKUP(C742,Customers!$A$2:$F$1001,4,FALSE())</f>
        <v>Consumer</v>
      </c>
    </row>
    <row r="743" spans="1:14" x14ac:dyDescent="0.25">
      <c r="A743">
        <v>742</v>
      </c>
      <c r="B743" t="s">
        <v>2033</v>
      </c>
      <c r="C743" t="s">
        <v>1372</v>
      </c>
      <c r="D743" t="s">
        <v>1816</v>
      </c>
      <c r="E743">
        <v>4</v>
      </c>
      <c r="F743">
        <v>500</v>
      </c>
      <c r="G743">
        <v>2000</v>
      </c>
      <c r="H743" s="9">
        <v>0</v>
      </c>
      <c r="I743">
        <v>285.83</v>
      </c>
      <c r="J743" s="10">
        <f t="shared" si="22"/>
        <v>1</v>
      </c>
      <c r="K743" s="11">
        <f t="shared" si="23"/>
        <v>0.14291499999999999</v>
      </c>
      <c r="L743" t="str">
        <f>VLOOKUP(C743,Customers!$A$2:$F$1001,2,FALSE())</f>
        <v>Joseph Jones</v>
      </c>
      <c r="M743" t="str">
        <f>VLOOKUP(C743,Customers!$A$2:$F$1001,3,FALSE())</f>
        <v>North</v>
      </c>
      <c r="N743" t="str">
        <f>VLOOKUP(C743,Customers!$A$2:$F$1001,4,FALSE())</f>
        <v>Home Office</v>
      </c>
    </row>
    <row r="744" spans="1:14" x14ac:dyDescent="0.25">
      <c r="A744">
        <v>743</v>
      </c>
      <c r="B744" t="s">
        <v>1828</v>
      </c>
      <c r="C744" t="s">
        <v>1374</v>
      </c>
      <c r="D744" t="s">
        <v>1812</v>
      </c>
      <c r="E744">
        <v>4</v>
      </c>
      <c r="F744">
        <v>500</v>
      </c>
      <c r="G744">
        <v>2000</v>
      </c>
      <c r="H744" s="9">
        <v>0.15</v>
      </c>
      <c r="I744">
        <v>283.32</v>
      </c>
      <c r="J744" s="10">
        <f t="shared" si="22"/>
        <v>1</v>
      </c>
      <c r="K744" s="11">
        <f t="shared" si="23"/>
        <v>0.14166000000000001</v>
      </c>
      <c r="L744" t="str">
        <f>VLOOKUP(C744,Customers!$A$2:$F$1001,2,FALSE())</f>
        <v>Christopher Wright</v>
      </c>
      <c r="M744" t="str">
        <f>VLOOKUP(C744,Customers!$A$2:$F$1001,3,FALSE())</f>
        <v>North</v>
      </c>
      <c r="N744" t="str">
        <f>VLOOKUP(C744,Customers!$A$2:$F$1001,4,FALSE())</f>
        <v>Consumer</v>
      </c>
    </row>
    <row r="745" spans="1:14" x14ac:dyDescent="0.25">
      <c r="A745">
        <v>744</v>
      </c>
      <c r="B745" t="s">
        <v>1912</v>
      </c>
      <c r="C745" t="s">
        <v>1375</v>
      </c>
      <c r="D745" t="s">
        <v>1816</v>
      </c>
      <c r="E745">
        <v>1</v>
      </c>
      <c r="F745">
        <v>25</v>
      </c>
      <c r="G745">
        <v>25</v>
      </c>
      <c r="H745" s="9">
        <v>0.05</v>
      </c>
      <c r="I745">
        <v>2.99</v>
      </c>
      <c r="J745" s="10">
        <f t="shared" si="22"/>
        <v>5</v>
      </c>
      <c r="K745" s="11">
        <f t="shared" si="23"/>
        <v>0.11960000000000001</v>
      </c>
      <c r="L745" t="str">
        <f>VLOOKUP(C745,Customers!$A$2:$F$1001,2,FALSE())</f>
        <v>David Smith</v>
      </c>
      <c r="M745" t="str">
        <f>VLOOKUP(C745,Customers!$A$2:$F$1001,3,FALSE())</f>
        <v>West</v>
      </c>
      <c r="N745" t="str">
        <f>VLOOKUP(C745,Customers!$A$2:$F$1001,4,FALSE())</f>
        <v>Corporate</v>
      </c>
    </row>
    <row r="746" spans="1:14" x14ac:dyDescent="0.25">
      <c r="A746">
        <v>745</v>
      </c>
      <c r="B746" t="s">
        <v>1971</v>
      </c>
      <c r="C746" t="s">
        <v>1377</v>
      </c>
      <c r="D746" t="s">
        <v>1812</v>
      </c>
      <c r="E746">
        <v>2</v>
      </c>
      <c r="F746">
        <v>50</v>
      </c>
      <c r="G746">
        <v>100</v>
      </c>
      <c r="H746" s="9">
        <v>0</v>
      </c>
      <c r="I746">
        <v>36.28</v>
      </c>
      <c r="J746" s="10">
        <f t="shared" si="22"/>
        <v>4</v>
      </c>
      <c r="K746" s="11">
        <f t="shared" si="23"/>
        <v>0.36280000000000001</v>
      </c>
      <c r="L746" t="str">
        <f>VLOOKUP(C746,Customers!$A$2:$F$1001,2,FALSE())</f>
        <v>Jennifer Lee</v>
      </c>
      <c r="M746" t="str">
        <f>VLOOKUP(C746,Customers!$A$2:$F$1001,3,FALSE())</f>
        <v>East</v>
      </c>
      <c r="N746" t="str">
        <f>VLOOKUP(C746,Customers!$A$2:$F$1001,4,FALSE())</f>
        <v>Consumer</v>
      </c>
    </row>
    <row r="747" spans="1:14" x14ac:dyDescent="0.25">
      <c r="A747">
        <v>746</v>
      </c>
      <c r="B747" t="s">
        <v>1980</v>
      </c>
      <c r="C747" t="s">
        <v>1378</v>
      </c>
      <c r="D747" t="s">
        <v>1814</v>
      </c>
      <c r="E747">
        <v>3</v>
      </c>
      <c r="F747">
        <v>30</v>
      </c>
      <c r="G747">
        <v>90</v>
      </c>
      <c r="H747" s="9">
        <v>0.1</v>
      </c>
      <c r="I747">
        <v>10.49</v>
      </c>
      <c r="J747" s="10">
        <f t="shared" si="22"/>
        <v>1</v>
      </c>
      <c r="K747" s="11">
        <f t="shared" si="23"/>
        <v>0.11655555555555555</v>
      </c>
      <c r="L747" t="str">
        <f>VLOOKUP(C747,Customers!$A$2:$F$1001,2,FALSE())</f>
        <v>Susan Martin</v>
      </c>
      <c r="M747" t="str">
        <f>VLOOKUP(C747,Customers!$A$2:$F$1001,3,FALSE())</f>
        <v>East</v>
      </c>
      <c r="N747" t="str">
        <f>VLOOKUP(C747,Customers!$A$2:$F$1001,4,FALSE())</f>
        <v>Corporate</v>
      </c>
    </row>
    <row r="748" spans="1:14" x14ac:dyDescent="0.25">
      <c r="A748">
        <v>747</v>
      </c>
      <c r="B748" t="s">
        <v>2043</v>
      </c>
      <c r="C748" t="s">
        <v>1379</v>
      </c>
      <c r="D748" t="s">
        <v>1812</v>
      </c>
      <c r="E748">
        <v>1</v>
      </c>
      <c r="F748">
        <v>30</v>
      </c>
      <c r="G748">
        <v>30</v>
      </c>
      <c r="H748" s="9">
        <v>0</v>
      </c>
      <c r="I748">
        <v>10.63</v>
      </c>
      <c r="J748" s="10">
        <f t="shared" si="22"/>
        <v>11</v>
      </c>
      <c r="K748" s="11">
        <f t="shared" si="23"/>
        <v>0.35433333333333333</v>
      </c>
      <c r="L748" t="str">
        <f>VLOOKUP(C748,Customers!$A$2:$F$1001,2,FALSE())</f>
        <v>Mary Wilson</v>
      </c>
      <c r="M748" t="str">
        <f>VLOOKUP(C748,Customers!$A$2:$F$1001,3,FALSE())</f>
        <v>East</v>
      </c>
      <c r="N748" t="str">
        <f>VLOOKUP(C748,Customers!$A$2:$F$1001,4,FALSE())</f>
        <v>Consumer</v>
      </c>
    </row>
    <row r="749" spans="1:14" x14ac:dyDescent="0.25">
      <c r="A749">
        <v>748</v>
      </c>
      <c r="B749" t="s">
        <v>1925</v>
      </c>
      <c r="C749" t="s">
        <v>1381</v>
      </c>
      <c r="D749" t="s">
        <v>1814</v>
      </c>
      <c r="E749">
        <v>3</v>
      </c>
      <c r="F749">
        <v>50</v>
      </c>
      <c r="G749">
        <v>150</v>
      </c>
      <c r="H749" s="9">
        <v>0.15</v>
      </c>
      <c r="I749">
        <v>10.119999999999999</v>
      </c>
      <c r="J749" s="10">
        <f t="shared" si="22"/>
        <v>3</v>
      </c>
      <c r="K749" s="11">
        <f t="shared" si="23"/>
        <v>6.7466666666666661E-2</v>
      </c>
      <c r="L749" t="str">
        <f>VLOOKUP(C749,Customers!$A$2:$F$1001,2,FALSE())</f>
        <v>Christopher Moore</v>
      </c>
      <c r="M749" t="str">
        <f>VLOOKUP(C749,Customers!$A$2:$F$1001,3,FALSE())</f>
        <v>East</v>
      </c>
      <c r="N749" t="str">
        <f>VLOOKUP(C749,Customers!$A$2:$F$1001,4,FALSE())</f>
        <v>Consumer</v>
      </c>
    </row>
    <row r="750" spans="1:14" x14ac:dyDescent="0.25">
      <c r="A750">
        <v>749</v>
      </c>
      <c r="B750" t="s">
        <v>1957</v>
      </c>
      <c r="C750" t="s">
        <v>1383</v>
      </c>
      <c r="D750" t="s">
        <v>1812</v>
      </c>
      <c r="E750">
        <v>1</v>
      </c>
      <c r="F750">
        <v>30</v>
      </c>
      <c r="G750">
        <v>30</v>
      </c>
      <c r="H750" s="9">
        <v>0.05</v>
      </c>
      <c r="I750">
        <v>7.92</v>
      </c>
      <c r="J750" s="10">
        <f t="shared" si="22"/>
        <v>5</v>
      </c>
      <c r="K750" s="11">
        <f t="shared" si="23"/>
        <v>0.26400000000000001</v>
      </c>
      <c r="L750" t="str">
        <f>VLOOKUP(C750,Customers!$A$2:$F$1001,2,FALSE())</f>
        <v>Betty Young</v>
      </c>
      <c r="M750" t="str">
        <f>VLOOKUP(C750,Customers!$A$2:$F$1001,3,FALSE())</f>
        <v>South</v>
      </c>
      <c r="N750" t="str">
        <f>VLOOKUP(C750,Customers!$A$2:$F$1001,4,FALSE())</f>
        <v>Consumer</v>
      </c>
    </row>
    <row r="751" spans="1:14" x14ac:dyDescent="0.25">
      <c r="A751">
        <v>750</v>
      </c>
      <c r="B751" t="s">
        <v>1963</v>
      </c>
      <c r="C751" t="s">
        <v>1384</v>
      </c>
      <c r="D751" t="s">
        <v>1814</v>
      </c>
      <c r="E751">
        <v>3</v>
      </c>
      <c r="F751">
        <v>25</v>
      </c>
      <c r="G751">
        <v>75</v>
      </c>
      <c r="H751" s="9">
        <v>0</v>
      </c>
      <c r="I751">
        <v>18.91</v>
      </c>
      <c r="J751" s="10">
        <f t="shared" si="22"/>
        <v>3</v>
      </c>
      <c r="K751" s="11">
        <f t="shared" si="23"/>
        <v>0.25213333333333332</v>
      </c>
      <c r="L751" t="str">
        <f>VLOOKUP(C751,Customers!$A$2:$F$1001,2,FALSE())</f>
        <v>Lisa King</v>
      </c>
      <c r="M751" t="str">
        <f>VLOOKUP(C751,Customers!$A$2:$F$1001,3,FALSE())</f>
        <v>South</v>
      </c>
      <c r="N751" t="str">
        <f>VLOOKUP(C751,Customers!$A$2:$F$1001,4,FALSE())</f>
        <v>Consumer</v>
      </c>
    </row>
    <row r="752" spans="1:14" x14ac:dyDescent="0.25">
      <c r="A752">
        <v>751</v>
      </c>
      <c r="B752" t="s">
        <v>1992</v>
      </c>
      <c r="C752" t="s">
        <v>1386</v>
      </c>
      <c r="D752" t="s">
        <v>1814</v>
      </c>
      <c r="E752">
        <v>2</v>
      </c>
      <c r="F752">
        <v>25</v>
      </c>
      <c r="G752">
        <v>50</v>
      </c>
      <c r="H752" s="9">
        <v>0</v>
      </c>
      <c r="I752">
        <v>11.57</v>
      </c>
      <c r="J752" s="10">
        <f t="shared" si="22"/>
        <v>8</v>
      </c>
      <c r="K752" s="11">
        <f t="shared" si="23"/>
        <v>0.23139999999999999</v>
      </c>
      <c r="L752" t="str">
        <f>VLOOKUP(C752,Customers!$A$2:$F$1001,2,FALSE())</f>
        <v>Anthony Hernandez</v>
      </c>
      <c r="M752" t="str">
        <f>VLOOKUP(C752,Customers!$A$2:$F$1001,3,FALSE())</f>
        <v>East</v>
      </c>
      <c r="N752" t="str">
        <f>VLOOKUP(C752,Customers!$A$2:$F$1001,4,FALSE())</f>
        <v>Consumer</v>
      </c>
    </row>
    <row r="753" spans="1:14" x14ac:dyDescent="0.25">
      <c r="A753">
        <v>752</v>
      </c>
      <c r="B753" t="s">
        <v>1988</v>
      </c>
      <c r="C753" t="s">
        <v>1388</v>
      </c>
      <c r="D753" t="s">
        <v>1814</v>
      </c>
      <c r="E753">
        <v>2</v>
      </c>
      <c r="F753">
        <v>50</v>
      </c>
      <c r="G753">
        <v>100</v>
      </c>
      <c r="H753" s="9">
        <v>0.05</v>
      </c>
      <c r="I753">
        <v>16.170000000000002</v>
      </c>
      <c r="J753" s="10">
        <f t="shared" si="22"/>
        <v>12</v>
      </c>
      <c r="K753" s="11">
        <f t="shared" si="23"/>
        <v>0.16170000000000001</v>
      </c>
      <c r="L753" t="str">
        <f>VLOOKUP(C753,Customers!$A$2:$F$1001,2,FALSE())</f>
        <v>Barbara Gonzalez</v>
      </c>
      <c r="M753" t="str">
        <f>VLOOKUP(C753,Customers!$A$2:$F$1001,3,FALSE())</f>
        <v>North</v>
      </c>
      <c r="N753" t="str">
        <f>VLOOKUP(C753,Customers!$A$2:$F$1001,4,FALSE())</f>
        <v>Corporate</v>
      </c>
    </row>
    <row r="754" spans="1:14" x14ac:dyDescent="0.25">
      <c r="A754">
        <v>753</v>
      </c>
      <c r="B754" t="s">
        <v>1936</v>
      </c>
      <c r="C754" t="s">
        <v>1389</v>
      </c>
      <c r="D754" t="s">
        <v>1814</v>
      </c>
      <c r="E754">
        <v>1</v>
      </c>
      <c r="F754">
        <v>30</v>
      </c>
      <c r="G754">
        <v>30</v>
      </c>
      <c r="H754" s="9">
        <v>0.05</v>
      </c>
      <c r="I754">
        <v>4.24</v>
      </c>
      <c r="J754" s="10">
        <f t="shared" si="22"/>
        <v>2</v>
      </c>
      <c r="K754" s="11">
        <f t="shared" si="23"/>
        <v>0.14133333333333334</v>
      </c>
      <c r="L754" t="str">
        <f>VLOOKUP(C754,Customers!$A$2:$F$1001,2,FALSE())</f>
        <v>Sandra Martinez</v>
      </c>
      <c r="M754" t="str">
        <f>VLOOKUP(C754,Customers!$A$2:$F$1001,3,FALSE())</f>
        <v>West</v>
      </c>
      <c r="N754" t="str">
        <f>VLOOKUP(C754,Customers!$A$2:$F$1001,4,FALSE())</f>
        <v>Home Office</v>
      </c>
    </row>
    <row r="755" spans="1:14" x14ac:dyDescent="0.25">
      <c r="A755">
        <v>754</v>
      </c>
      <c r="B755" t="s">
        <v>2044</v>
      </c>
      <c r="C755" t="s">
        <v>1391</v>
      </c>
      <c r="D755" t="s">
        <v>1816</v>
      </c>
      <c r="E755">
        <v>4</v>
      </c>
      <c r="F755">
        <v>25</v>
      </c>
      <c r="G755">
        <v>100</v>
      </c>
      <c r="H755" s="9">
        <v>0.15</v>
      </c>
      <c r="I755">
        <v>-4.08</v>
      </c>
      <c r="J755" s="10">
        <f t="shared" si="22"/>
        <v>10</v>
      </c>
      <c r="K755" s="11">
        <f t="shared" si="23"/>
        <v>-4.0800000000000003E-2</v>
      </c>
      <c r="L755" t="str">
        <f>VLOOKUP(C755,Customers!$A$2:$F$1001,2,FALSE())</f>
        <v>Amanda Martin</v>
      </c>
      <c r="M755" t="str">
        <f>VLOOKUP(C755,Customers!$A$2:$F$1001,3,FALSE())</f>
        <v>West</v>
      </c>
      <c r="N755" t="str">
        <f>VLOOKUP(C755,Customers!$A$2:$F$1001,4,FALSE())</f>
        <v>Consumer</v>
      </c>
    </row>
    <row r="756" spans="1:14" x14ac:dyDescent="0.25">
      <c r="A756">
        <v>755</v>
      </c>
      <c r="B756" t="s">
        <v>1830</v>
      </c>
      <c r="C756" t="s">
        <v>1393</v>
      </c>
      <c r="D756" t="s">
        <v>1814</v>
      </c>
      <c r="E756">
        <v>3</v>
      </c>
      <c r="F756">
        <v>25</v>
      </c>
      <c r="G756">
        <v>75</v>
      </c>
      <c r="H756" s="9">
        <v>0.05</v>
      </c>
      <c r="I756">
        <v>15.53</v>
      </c>
      <c r="J756" s="10">
        <f t="shared" si="22"/>
        <v>4</v>
      </c>
      <c r="K756" s="11">
        <f t="shared" si="23"/>
        <v>0.20706666666666665</v>
      </c>
      <c r="L756" t="str">
        <f>VLOOKUP(C756,Customers!$A$2:$F$1001,2,FALSE())</f>
        <v>Carol Ramirez</v>
      </c>
      <c r="M756" t="str">
        <f>VLOOKUP(C756,Customers!$A$2:$F$1001,3,FALSE())</f>
        <v>South</v>
      </c>
      <c r="N756" t="str">
        <f>VLOOKUP(C756,Customers!$A$2:$F$1001,4,FALSE())</f>
        <v>Home Office</v>
      </c>
    </row>
    <row r="757" spans="1:14" x14ac:dyDescent="0.25">
      <c r="A757">
        <v>756</v>
      </c>
      <c r="B757" t="s">
        <v>2100</v>
      </c>
      <c r="C757" t="s">
        <v>1395</v>
      </c>
      <c r="D757" t="s">
        <v>1816</v>
      </c>
      <c r="E757">
        <v>4</v>
      </c>
      <c r="F757">
        <v>300</v>
      </c>
      <c r="G757">
        <v>1200</v>
      </c>
      <c r="H757" s="9">
        <v>0.05</v>
      </c>
      <c r="I757">
        <v>82.99</v>
      </c>
      <c r="J757" s="10">
        <f t="shared" si="22"/>
        <v>8</v>
      </c>
      <c r="K757" s="11">
        <f t="shared" si="23"/>
        <v>6.9158333333333336E-2</v>
      </c>
      <c r="L757" t="str">
        <f>VLOOKUP(C757,Customers!$A$2:$F$1001,2,FALSE())</f>
        <v>Thomas Martinez</v>
      </c>
      <c r="M757" t="str">
        <f>VLOOKUP(C757,Customers!$A$2:$F$1001,3,FALSE())</f>
        <v>East</v>
      </c>
      <c r="N757" t="str">
        <f>VLOOKUP(C757,Customers!$A$2:$F$1001,4,FALSE())</f>
        <v>Corporate</v>
      </c>
    </row>
    <row r="758" spans="1:14" x14ac:dyDescent="0.25">
      <c r="A758">
        <v>757</v>
      </c>
      <c r="B758" t="s">
        <v>2133</v>
      </c>
      <c r="C758" t="s">
        <v>1396</v>
      </c>
      <c r="D758" t="s">
        <v>1816</v>
      </c>
      <c r="E758">
        <v>4</v>
      </c>
      <c r="F758">
        <v>300</v>
      </c>
      <c r="G758">
        <v>1200</v>
      </c>
      <c r="H758" s="9">
        <v>0</v>
      </c>
      <c r="I758">
        <v>270.75</v>
      </c>
      <c r="J758" s="10">
        <f t="shared" si="22"/>
        <v>12</v>
      </c>
      <c r="K758" s="11">
        <f t="shared" si="23"/>
        <v>0.22562499999999999</v>
      </c>
      <c r="L758" t="str">
        <f>VLOOKUP(C758,Customers!$A$2:$F$1001,2,FALSE())</f>
        <v>Donna Wilson</v>
      </c>
      <c r="M758" t="str">
        <f>VLOOKUP(C758,Customers!$A$2:$F$1001,3,FALSE())</f>
        <v>North</v>
      </c>
      <c r="N758" t="str">
        <f>VLOOKUP(C758,Customers!$A$2:$F$1001,4,FALSE())</f>
        <v>Home Office</v>
      </c>
    </row>
    <row r="759" spans="1:14" x14ac:dyDescent="0.25">
      <c r="A759">
        <v>758</v>
      </c>
      <c r="B759" t="s">
        <v>2134</v>
      </c>
      <c r="C759" t="s">
        <v>1398</v>
      </c>
      <c r="D759" t="s">
        <v>1814</v>
      </c>
      <c r="E759">
        <v>4</v>
      </c>
      <c r="F759">
        <v>25</v>
      </c>
      <c r="G759">
        <v>100</v>
      </c>
      <c r="H759" s="9">
        <v>0</v>
      </c>
      <c r="I759">
        <v>27.66</v>
      </c>
      <c r="J759" s="10">
        <f t="shared" si="22"/>
        <v>5</v>
      </c>
      <c r="K759" s="11">
        <f t="shared" si="23"/>
        <v>0.27660000000000001</v>
      </c>
      <c r="L759" t="str">
        <f>VLOOKUP(C759,Customers!$A$2:$F$1001,2,FALSE())</f>
        <v>Richard Nguyen</v>
      </c>
      <c r="M759" t="str">
        <f>VLOOKUP(C759,Customers!$A$2:$F$1001,3,FALSE())</f>
        <v>West</v>
      </c>
      <c r="N759" t="str">
        <f>VLOOKUP(C759,Customers!$A$2:$F$1001,4,FALSE())</f>
        <v>Corporate</v>
      </c>
    </row>
    <row r="760" spans="1:14" x14ac:dyDescent="0.25">
      <c r="A760">
        <v>759</v>
      </c>
      <c r="B760" t="s">
        <v>2135</v>
      </c>
      <c r="C760" t="s">
        <v>1399</v>
      </c>
      <c r="D760" t="s">
        <v>1816</v>
      </c>
      <c r="E760">
        <v>2</v>
      </c>
      <c r="F760">
        <v>50</v>
      </c>
      <c r="G760">
        <v>100</v>
      </c>
      <c r="H760" s="9">
        <v>0.2</v>
      </c>
      <c r="I760">
        <v>-5</v>
      </c>
      <c r="J760" s="10">
        <f t="shared" si="22"/>
        <v>7</v>
      </c>
      <c r="K760" s="11">
        <f t="shared" si="23"/>
        <v>-0.05</v>
      </c>
      <c r="L760" t="str">
        <f>VLOOKUP(C760,Customers!$A$2:$F$1001,2,FALSE())</f>
        <v>Matthew Johnson</v>
      </c>
      <c r="M760" t="str">
        <f>VLOOKUP(C760,Customers!$A$2:$F$1001,3,FALSE())</f>
        <v>West</v>
      </c>
      <c r="N760" t="str">
        <f>VLOOKUP(C760,Customers!$A$2:$F$1001,4,FALSE())</f>
        <v>Corporate</v>
      </c>
    </row>
    <row r="761" spans="1:14" x14ac:dyDescent="0.25">
      <c r="A761">
        <v>760</v>
      </c>
      <c r="B761" t="s">
        <v>2014</v>
      </c>
      <c r="C761" t="s">
        <v>1400</v>
      </c>
      <c r="D761" t="s">
        <v>1812</v>
      </c>
      <c r="E761">
        <v>1</v>
      </c>
      <c r="F761">
        <v>500</v>
      </c>
      <c r="G761">
        <v>500</v>
      </c>
      <c r="H761" s="9">
        <v>0</v>
      </c>
      <c r="I761">
        <v>186.93</v>
      </c>
      <c r="J761" s="10">
        <f t="shared" si="22"/>
        <v>3</v>
      </c>
      <c r="K761" s="11">
        <f t="shared" si="23"/>
        <v>0.37386000000000003</v>
      </c>
      <c r="L761" t="str">
        <f>VLOOKUP(C761,Customers!$A$2:$F$1001,2,FALSE())</f>
        <v>Matthew Jackson</v>
      </c>
      <c r="M761" t="str">
        <f>VLOOKUP(C761,Customers!$A$2:$F$1001,3,FALSE())</f>
        <v>West</v>
      </c>
      <c r="N761" t="str">
        <f>VLOOKUP(C761,Customers!$A$2:$F$1001,4,FALSE())</f>
        <v>Corporate</v>
      </c>
    </row>
    <row r="762" spans="1:14" x14ac:dyDescent="0.25">
      <c r="A762">
        <v>761</v>
      </c>
      <c r="B762" t="s">
        <v>1969</v>
      </c>
      <c r="C762" t="s">
        <v>1402</v>
      </c>
      <c r="D762" t="s">
        <v>1814</v>
      </c>
      <c r="E762">
        <v>1</v>
      </c>
      <c r="F762">
        <v>500</v>
      </c>
      <c r="G762">
        <v>500</v>
      </c>
      <c r="H762" s="9">
        <v>0.25</v>
      </c>
      <c r="I762">
        <v>2.79</v>
      </c>
      <c r="J762" s="10">
        <f t="shared" si="22"/>
        <v>11</v>
      </c>
      <c r="K762" s="11">
        <f t="shared" si="23"/>
        <v>5.5799999999999999E-3</v>
      </c>
      <c r="L762" t="str">
        <f>VLOOKUP(C762,Customers!$A$2:$F$1001,2,FALSE())</f>
        <v>Carol Lewis</v>
      </c>
      <c r="M762" t="str">
        <f>VLOOKUP(C762,Customers!$A$2:$F$1001,3,FALSE())</f>
        <v>South</v>
      </c>
      <c r="N762" t="str">
        <f>VLOOKUP(C762,Customers!$A$2:$F$1001,4,FALSE())</f>
        <v>Corporate</v>
      </c>
    </row>
    <row r="763" spans="1:14" x14ac:dyDescent="0.25">
      <c r="A763">
        <v>762</v>
      </c>
      <c r="B763" t="s">
        <v>1969</v>
      </c>
      <c r="C763" t="s">
        <v>1404</v>
      </c>
      <c r="D763" t="s">
        <v>1816</v>
      </c>
      <c r="E763">
        <v>2</v>
      </c>
      <c r="F763">
        <v>25</v>
      </c>
      <c r="G763">
        <v>50</v>
      </c>
      <c r="H763" s="9">
        <v>0.05</v>
      </c>
      <c r="I763">
        <v>3.32</v>
      </c>
      <c r="J763" s="10">
        <f t="shared" si="22"/>
        <v>11</v>
      </c>
      <c r="K763" s="11">
        <f t="shared" si="23"/>
        <v>6.6400000000000001E-2</v>
      </c>
      <c r="L763" t="str">
        <f>VLOOKUP(C763,Customers!$A$2:$F$1001,2,FALSE())</f>
        <v>Elizabeth Miller</v>
      </c>
      <c r="M763" t="str">
        <f>VLOOKUP(C763,Customers!$A$2:$F$1001,3,FALSE())</f>
        <v>North</v>
      </c>
      <c r="N763" t="str">
        <f>VLOOKUP(C763,Customers!$A$2:$F$1001,4,FALSE())</f>
        <v>Home Office</v>
      </c>
    </row>
    <row r="764" spans="1:14" x14ac:dyDescent="0.25">
      <c r="A764">
        <v>763</v>
      </c>
      <c r="B764" t="s">
        <v>1936</v>
      </c>
      <c r="C764" t="s">
        <v>1405</v>
      </c>
      <c r="D764" t="s">
        <v>1814</v>
      </c>
      <c r="E764">
        <v>2</v>
      </c>
      <c r="F764">
        <v>25</v>
      </c>
      <c r="G764">
        <v>50</v>
      </c>
      <c r="H764" s="9">
        <v>0</v>
      </c>
      <c r="I764">
        <v>8.66</v>
      </c>
      <c r="J764" s="10">
        <f t="shared" si="22"/>
        <v>2</v>
      </c>
      <c r="K764" s="11">
        <f t="shared" si="23"/>
        <v>0.17319999999999999</v>
      </c>
      <c r="L764" t="str">
        <f>VLOOKUP(C764,Customers!$A$2:$F$1001,2,FALSE())</f>
        <v>Donald Johnson</v>
      </c>
      <c r="M764" t="str">
        <f>VLOOKUP(C764,Customers!$A$2:$F$1001,3,FALSE())</f>
        <v>North</v>
      </c>
      <c r="N764" t="str">
        <f>VLOOKUP(C764,Customers!$A$2:$F$1001,4,FALSE())</f>
        <v>Consumer</v>
      </c>
    </row>
    <row r="765" spans="1:14" x14ac:dyDescent="0.25">
      <c r="A765">
        <v>764</v>
      </c>
      <c r="B765" t="s">
        <v>1880</v>
      </c>
      <c r="C765" t="s">
        <v>1406</v>
      </c>
      <c r="D765" t="s">
        <v>1814</v>
      </c>
      <c r="E765">
        <v>1</v>
      </c>
      <c r="F765">
        <v>25</v>
      </c>
      <c r="G765">
        <v>25</v>
      </c>
      <c r="H765" s="9">
        <v>0</v>
      </c>
      <c r="I765">
        <v>5.92</v>
      </c>
      <c r="J765" s="10">
        <f t="shared" si="22"/>
        <v>3</v>
      </c>
      <c r="K765" s="11">
        <f t="shared" si="23"/>
        <v>0.23680000000000001</v>
      </c>
      <c r="L765" t="str">
        <f>VLOOKUP(C765,Customers!$A$2:$F$1001,2,FALSE())</f>
        <v>Jessica Garcia</v>
      </c>
      <c r="M765" t="str">
        <f>VLOOKUP(C765,Customers!$A$2:$F$1001,3,FALSE())</f>
        <v>North</v>
      </c>
      <c r="N765" t="str">
        <f>VLOOKUP(C765,Customers!$A$2:$F$1001,4,FALSE())</f>
        <v>Consumer</v>
      </c>
    </row>
    <row r="766" spans="1:14" x14ac:dyDescent="0.25">
      <c r="A766">
        <v>765</v>
      </c>
      <c r="B766" t="s">
        <v>1973</v>
      </c>
      <c r="C766" t="s">
        <v>1408</v>
      </c>
      <c r="D766" t="s">
        <v>1814</v>
      </c>
      <c r="E766">
        <v>4</v>
      </c>
      <c r="F766">
        <v>50</v>
      </c>
      <c r="G766">
        <v>200</v>
      </c>
      <c r="H766" s="9">
        <v>0</v>
      </c>
      <c r="I766">
        <v>53.35</v>
      </c>
      <c r="J766" s="10">
        <f t="shared" si="22"/>
        <v>6</v>
      </c>
      <c r="K766" s="11">
        <f t="shared" si="23"/>
        <v>0.26674999999999999</v>
      </c>
      <c r="L766" t="str">
        <f>VLOOKUP(C766,Customers!$A$2:$F$1001,2,FALSE())</f>
        <v>Mary Torres</v>
      </c>
      <c r="M766" t="str">
        <f>VLOOKUP(C766,Customers!$A$2:$F$1001,3,FALSE())</f>
        <v>North</v>
      </c>
      <c r="N766" t="str">
        <f>VLOOKUP(C766,Customers!$A$2:$F$1001,4,FALSE())</f>
        <v>Consumer</v>
      </c>
    </row>
    <row r="767" spans="1:14" x14ac:dyDescent="0.25">
      <c r="A767">
        <v>766</v>
      </c>
      <c r="B767" t="s">
        <v>2006</v>
      </c>
      <c r="C767" t="s">
        <v>1410</v>
      </c>
      <c r="D767" t="s">
        <v>1816</v>
      </c>
      <c r="E767">
        <v>3</v>
      </c>
      <c r="F767">
        <v>300</v>
      </c>
      <c r="G767">
        <v>900</v>
      </c>
      <c r="H767" s="9">
        <v>0.15</v>
      </c>
      <c r="I767">
        <v>-22.91</v>
      </c>
      <c r="J767" s="10">
        <f t="shared" si="22"/>
        <v>2</v>
      </c>
      <c r="K767" s="11">
        <f t="shared" si="23"/>
        <v>-2.5455555555555554E-2</v>
      </c>
      <c r="L767" t="str">
        <f>VLOOKUP(C767,Customers!$A$2:$F$1001,2,FALSE())</f>
        <v>John Smith</v>
      </c>
      <c r="M767" t="str">
        <f>VLOOKUP(C767,Customers!$A$2:$F$1001,3,FALSE())</f>
        <v>North</v>
      </c>
      <c r="N767" t="str">
        <f>VLOOKUP(C767,Customers!$A$2:$F$1001,4,FALSE())</f>
        <v>Home Office</v>
      </c>
    </row>
    <row r="768" spans="1:14" x14ac:dyDescent="0.25">
      <c r="A768">
        <v>767</v>
      </c>
      <c r="B768" t="s">
        <v>2022</v>
      </c>
      <c r="C768" t="s">
        <v>1412</v>
      </c>
      <c r="D768" t="s">
        <v>1812</v>
      </c>
      <c r="E768">
        <v>3</v>
      </c>
      <c r="F768">
        <v>25</v>
      </c>
      <c r="G768">
        <v>75</v>
      </c>
      <c r="H768" s="9">
        <v>0.05</v>
      </c>
      <c r="I768">
        <v>22.37</v>
      </c>
      <c r="J768" s="10">
        <f t="shared" si="22"/>
        <v>10</v>
      </c>
      <c r="K768" s="11">
        <f t="shared" si="23"/>
        <v>0.29826666666666668</v>
      </c>
      <c r="L768" t="str">
        <f>VLOOKUP(C768,Customers!$A$2:$F$1001,2,FALSE())</f>
        <v>George Davis</v>
      </c>
      <c r="M768" t="str">
        <f>VLOOKUP(C768,Customers!$A$2:$F$1001,3,FALSE())</f>
        <v>West</v>
      </c>
      <c r="N768" t="str">
        <f>VLOOKUP(C768,Customers!$A$2:$F$1001,4,FALSE())</f>
        <v>Consumer</v>
      </c>
    </row>
    <row r="769" spans="1:14" x14ac:dyDescent="0.25">
      <c r="A769">
        <v>768</v>
      </c>
      <c r="B769" t="s">
        <v>1834</v>
      </c>
      <c r="C769" t="s">
        <v>1414</v>
      </c>
      <c r="D769" t="s">
        <v>1812</v>
      </c>
      <c r="E769">
        <v>3</v>
      </c>
      <c r="F769">
        <v>25</v>
      </c>
      <c r="G769">
        <v>75</v>
      </c>
      <c r="H769" s="9">
        <v>0.05</v>
      </c>
      <c r="I769">
        <v>24.72</v>
      </c>
      <c r="J769" s="10">
        <f t="shared" si="22"/>
        <v>1</v>
      </c>
      <c r="K769" s="11">
        <f t="shared" si="23"/>
        <v>0.3296</v>
      </c>
      <c r="L769" t="str">
        <f>VLOOKUP(C769,Customers!$A$2:$F$1001,2,FALSE())</f>
        <v>Kenneth Johnson</v>
      </c>
      <c r="M769" t="str">
        <f>VLOOKUP(C769,Customers!$A$2:$F$1001,3,FALSE())</f>
        <v>North</v>
      </c>
      <c r="N769" t="str">
        <f>VLOOKUP(C769,Customers!$A$2:$F$1001,4,FALSE())</f>
        <v>Corporate</v>
      </c>
    </row>
    <row r="770" spans="1:14" x14ac:dyDescent="0.25">
      <c r="A770">
        <v>769</v>
      </c>
      <c r="B770" t="s">
        <v>1973</v>
      </c>
      <c r="C770" t="s">
        <v>1416</v>
      </c>
      <c r="D770" t="s">
        <v>1816</v>
      </c>
      <c r="E770">
        <v>4</v>
      </c>
      <c r="F770">
        <v>30</v>
      </c>
      <c r="G770">
        <v>120</v>
      </c>
      <c r="H770" s="9">
        <v>0.1</v>
      </c>
      <c r="I770">
        <v>4.9800000000000004</v>
      </c>
      <c r="J770" s="10">
        <f t="shared" ref="J770:J833" si="24">MONTH(B770)</f>
        <v>6</v>
      </c>
      <c r="K770" s="11">
        <f t="shared" ref="K770:K833" si="25">IF(G770=0,0,I770/G770)</f>
        <v>4.1500000000000002E-2</v>
      </c>
      <c r="L770" t="str">
        <f>VLOOKUP(C770,Customers!$A$2:$F$1001,2,FALSE())</f>
        <v>Linda Jones</v>
      </c>
      <c r="M770" t="str">
        <f>VLOOKUP(C770,Customers!$A$2:$F$1001,3,FALSE())</f>
        <v>North</v>
      </c>
      <c r="N770" t="str">
        <f>VLOOKUP(C770,Customers!$A$2:$F$1001,4,FALSE())</f>
        <v>Home Office</v>
      </c>
    </row>
    <row r="771" spans="1:14" x14ac:dyDescent="0.25">
      <c r="A771">
        <v>770</v>
      </c>
      <c r="B771" t="s">
        <v>2107</v>
      </c>
      <c r="C771" t="s">
        <v>1418</v>
      </c>
      <c r="D771" t="s">
        <v>1814</v>
      </c>
      <c r="E771">
        <v>1</v>
      </c>
      <c r="F771">
        <v>50</v>
      </c>
      <c r="G771">
        <v>50</v>
      </c>
      <c r="H771" s="9">
        <v>0.1</v>
      </c>
      <c r="I771">
        <v>7.7</v>
      </c>
      <c r="J771" s="10">
        <f t="shared" si="24"/>
        <v>10</v>
      </c>
      <c r="K771" s="11">
        <f t="shared" si="25"/>
        <v>0.154</v>
      </c>
      <c r="L771" t="str">
        <f>VLOOKUP(C771,Customers!$A$2:$F$1001,2,FALSE())</f>
        <v>Emily Harris</v>
      </c>
      <c r="M771" t="str">
        <f>VLOOKUP(C771,Customers!$A$2:$F$1001,3,FALSE())</f>
        <v>West</v>
      </c>
      <c r="N771" t="str">
        <f>VLOOKUP(C771,Customers!$A$2:$F$1001,4,FALSE())</f>
        <v>Home Office</v>
      </c>
    </row>
    <row r="772" spans="1:14" x14ac:dyDescent="0.25">
      <c r="A772">
        <v>771</v>
      </c>
      <c r="B772" t="s">
        <v>1822</v>
      </c>
      <c r="C772" t="s">
        <v>1420</v>
      </c>
      <c r="D772" t="s">
        <v>1816</v>
      </c>
      <c r="E772">
        <v>2</v>
      </c>
      <c r="F772">
        <v>25</v>
      </c>
      <c r="G772">
        <v>50</v>
      </c>
      <c r="H772" s="9">
        <v>0.2</v>
      </c>
      <c r="I772">
        <v>-2.5</v>
      </c>
      <c r="J772" s="10">
        <f t="shared" si="24"/>
        <v>12</v>
      </c>
      <c r="K772" s="11">
        <f t="shared" si="25"/>
        <v>-0.05</v>
      </c>
      <c r="L772" t="str">
        <f>VLOOKUP(C772,Customers!$A$2:$F$1001,2,FALSE())</f>
        <v>Lisa Martinez</v>
      </c>
      <c r="M772" t="str">
        <f>VLOOKUP(C772,Customers!$A$2:$F$1001,3,FALSE())</f>
        <v>East</v>
      </c>
      <c r="N772" t="str">
        <f>VLOOKUP(C772,Customers!$A$2:$F$1001,4,FALSE())</f>
        <v>Consumer</v>
      </c>
    </row>
    <row r="773" spans="1:14" x14ac:dyDescent="0.25">
      <c r="A773">
        <v>772</v>
      </c>
      <c r="B773" t="s">
        <v>2136</v>
      </c>
      <c r="C773" t="s">
        <v>1421</v>
      </c>
      <c r="D773" t="s">
        <v>1816</v>
      </c>
      <c r="E773">
        <v>1</v>
      </c>
      <c r="F773">
        <v>30</v>
      </c>
      <c r="G773">
        <v>30</v>
      </c>
      <c r="H773" s="9">
        <v>0.25</v>
      </c>
      <c r="I773">
        <v>-1.5</v>
      </c>
      <c r="J773" s="10">
        <f t="shared" si="24"/>
        <v>7</v>
      </c>
      <c r="K773" s="11">
        <f t="shared" si="25"/>
        <v>-0.05</v>
      </c>
      <c r="L773" t="str">
        <f>VLOOKUP(C773,Customers!$A$2:$F$1001,2,FALSE())</f>
        <v>John Thompson</v>
      </c>
      <c r="M773" t="str">
        <f>VLOOKUP(C773,Customers!$A$2:$F$1001,3,FALSE())</f>
        <v>East</v>
      </c>
      <c r="N773" t="str">
        <f>VLOOKUP(C773,Customers!$A$2:$F$1001,4,FALSE())</f>
        <v>Corporate</v>
      </c>
    </row>
    <row r="774" spans="1:14" x14ac:dyDescent="0.25">
      <c r="A774">
        <v>773</v>
      </c>
      <c r="B774" t="s">
        <v>2137</v>
      </c>
      <c r="C774" t="s">
        <v>1422</v>
      </c>
      <c r="D774" t="s">
        <v>1816</v>
      </c>
      <c r="E774">
        <v>4</v>
      </c>
      <c r="F774">
        <v>500</v>
      </c>
      <c r="G774">
        <v>2000</v>
      </c>
      <c r="H774" s="9">
        <v>0.1</v>
      </c>
      <c r="I774">
        <v>156.85</v>
      </c>
      <c r="J774" s="10">
        <f t="shared" si="24"/>
        <v>7</v>
      </c>
      <c r="K774" s="11">
        <f t="shared" si="25"/>
        <v>7.8424999999999995E-2</v>
      </c>
      <c r="L774" t="str">
        <f>VLOOKUP(C774,Customers!$A$2:$F$1001,2,FALSE())</f>
        <v>Barbara White</v>
      </c>
      <c r="M774" t="str">
        <f>VLOOKUP(C774,Customers!$A$2:$F$1001,3,FALSE())</f>
        <v>East</v>
      </c>
      <c r="N774" t="str">
        <f>VLOOKUP(C774,Customers!$A$2:$F$1001,4,FALSE())</f>
        <v>Home Office</v>
      </c>
    </row>
    <row r="775" spans="1:14" x14ac:dyDescent="0.25">
      <c r="A775">
        <v>774</v>
      </c>
      <c r="B775" t="s">
        <v>1836</v>
      </c>
      <c r="C775" t="s">
        <v>1423</v>
      </c>
      <c r="D775" t="s">
        <v>1814</v>
      </c>
      <c r="E775">
        <v>2</v>
      </c>
      <c r="F775">
        <v>25</v>
      </c>
      <c r="G775">
        <v>50</v>
      </c>
      <c r="H775" s="9">
        <v>0.15</v>
      </c>
      <c r="I775">
        <v>3.65</v>
      </c>
      <c r="J775" s="10">
        <f t="shared" si="24"/>
        <v>4</v>
      </c>
      <c r="K775" s="11">
        <f t="shared" si="25"/>
        <v>7.2999999999999995E-2</v>
      </c>
      <c r="L775" t="str">
        <f>VLOOKUP(C775,Customers!$A$2:$F$1001,2,FALSE())</f>
        <v>Paul King</v>
      </c>
      <c r="M775" t="str">
        <f>VLOOKUP(C775,Customers!$A$2:$F$1001,3,FALSE())</f>
        <v>West</v>
      </c>
      <c r="N775" t="str">
        <f>VLOOKUP(C775,Customers!$A$2:$F$1001,4,FALSE())</f>
        <v>Consumer</v>
      </c>
    </row>
    <row r="776" spans="1:14" x14ac:dyDescent="0.25">
      <c r="A776">
        <v>775</v>
      </c>
      <c r="B776" t="s">
        <v>2009</v>
      </c>
      <c r="C776" t="s">
        <v>1425</v>
      </c>
      <c r="D776" t="s">
        <v>1816</v>
      </c>
      <c r="E776">
        <v>4</v>
      </c>
      <c r="F776">
        <v>25</v>
      </c>
      <c r="G776">
        <v>100</v>
      </c>
      <c r="H776" s="9">
        <v>0.15</v>
      </c>
      <c r="I776">
        <v>-4.87</v>
      </c>
      <c r="J776" s="10">
        <f t="shared" si="24"/>
        <v>2</v>
      </c>
      <c r="K776" s="11">
        <f t="shared" si="25"/>
        <v>-4.87E-2</v>
      </c>
      <c r="L776" t="str">
        <f>VLOOKUP(C776,Customers!$A$2:$F$1001,2,FALSE())</f>
        <v>Matthew Smith</v>
      </c>
      <c r="M776" t="str">
        <f>VLOOKUP(C776,Customers!$A$2:$F$1001,3,FALSE())</f>
        <v>East</v>
      </c>
      <c r="N776" t="str">
        <f>VLOOKUP(C776,Customers!$A$2:$F$1001,4,FALSE())</f>
        <v>Corporate</v>
      </c>
    </row>
    <row r="777" spans="1:14" x14ac:dyDescent="0.25">
      <c r="A777">
        <v>776</v>
      </c>
      <c r="B777" t="s">
        <v>2129</v>
      </c>
      <c r="C777" t="s">
        <v>1426</v>
      </c>
      <c r="D777" t="s">
        <v>1814</v>
      </c>
      <c r="E777">
        <v>3</v>
      </c>
      <c r="F777">
        <v>30</v>
      </c>
      <c r="G777">
        <v>90</v>
      </c>
      <c r="H777" s="9">
        <v>0.05</v>
      </c>
      <c r="I777">
        <v>15.42</v>
      </c>
      <c r="J777" s="10">
        <f t="shared" si="24"/>
        <v>10</v>
      </c>
      <c r="K777" s="11">
        <f t="shared" si="25"/>
        <v>0.17133333333333334</v>
      </c>
      <c r="L777" t="str">
        <f>VLOOKUP(C777,Customers!$A$2:$F$1001,2,FALSE())</f>
        <v>Joseph Wright</v>
      </c>
      <c r="M777" t="str">
        <f>VLOOKUP(C777,Customers!$A$2:$F$1001,3,FALSE())</f>
        <v>East</v>
      </c>
      <c r="N777" t="str">
        <f>VLOOKUP(C777,Customers!$A$2:$F$1001,4,FALSE())</f>
        <v>Consumer</v>
      </c>
    </row>
    <row r="778" spans="1:14" x14ac:dyDescent="0.25">
      <c r="A778">
        <v>777</v>
      </c>
      <c r="B778" t="s">
        <v>1970</v>
      </c>
      <c r="C778" t="s">
        <v>1428</v>
      </c>
      <c r="D778" t="s">
        <v>1816</v>
      </c>
      <c r="E778">
        <v>3</v>
      </c>
      <c r="F778">
        <v>50</v>
      </c>
      <c r="G778">
        <v>150</v>
      </c>
      <c r="H778" s="9">
        <v>0.1</v>
      </c>
      <c r="I778">
        <v>1.58</v>
      </c>
      <c r="J778" s="10">
        <f t="shared" si="24"/>
        <v>12</v>
      </c>
      <c r="K778" s="11">
        <f t="shared" si="25"/>
        <v>1.0533333333333334E-2</v>
      </c>
      <c r="L778" t="str">
        <f>VLOOKUP(C778,Customers!$A$2:$F$1001,2,FALSE())</f>
        <v>Anthony Harris</v>
      </c>
      <c r="M778" t="str">
        <f>VLOOKUP(C778,Customers!$A$2:$F$1001,3,FALSE())</f>
        <v>East</v>
      </c>
      <c r="N778" t="str">
        <f>VLOOKUP(C778,Customers!$A$2:$F$1001,4,FALSE())</f>
        <v>Corporate</v>
      </c>
    </row>
    <row r="779" spans="1:14" x14ac:dyDescent="0.25">
      <c r="A779">
        <v>778</v>
      </c>
      <c r="B779" t="s">
        <v>1865</v>
      </c>
      <c r="C779" t="s">
        <v>1429</v>
      </c>
      <c r="D779" t="s">
        <v>1812</v>
      </c>
      <c r="E779">
        <v>4</v>
      </c>
      <c r="F779">
        <v>25</v>
      </c>
      <c r="G779">
        <v>100</v>
      </c>
      <c r="H779" s="9">
        <v>0</v>
      </c>
      <c r="I779">
        <v>32.869999999999997</v>
      </c>
      <c r="J779" s="10">
        <f t="shared" si="24"/>
        <v>11</v>
      </c>
      <c r="K779" s="11">
        <f t="shared" si="25"/>
        <v>0.32869999999999999</v>
      </c>
      <c r="L779" t="str">
        <f>VLOOKUP(C779,Customers!$A$2:$F$1001,2,FALSE())</f>
        <v>Daniel Miller</v>
      </c>
      <c r="M779" t="str">
        <f>VLOOKUP(C779,Customers!$A$2:$F$1001,3,FALSE())</f>
        <v>South</v>
      </c>
      <c r="N779" t="str">
        <f>VLOOKUP(C779,Customers!$A$2:$F$1001,4,FALSE())</f>
        <v>Corporate</v>
      </c>
    </row>
    <row r="780" spans="1:14" x14ac:dyDescent="0.25">
      <c r="A780">
        <v>779</v>
      </c>
      <c r="B780" t="s">
        <v>1993</v>
      </c>
      <c r="C780" t="s">
        <v>1430</v>
      </c>
      <c r="D780" t="s">
        <v>1816</v>
      </c>
      <c r="E780">
        <v>2</v>
      </c>
      <c r="F780">
        <v>500</v>
      </c>
      <c r="G780">
        <v>1000</v>
      </c>
      <c r="H780" s="9">
        <v>0.15</v>
      </c>
      <c r="I780">
        <v>-50</v>
      </c>
      <c r="J780" s="10">
        <f t="shared" si="24"/>
        <v>5</v>
      </c>
      <c r="K780" s="11">
        <f t="shared" si="25"/>
        <v>-0.05</v>
      </c>
      <c r="L780" t="str">
        <f>VLOOKUP(C780,Customers!$A$2:$F$1001,2,FALSE())</f>
        <v>Brian Walker</v>
      </c>
      <c r="M780" t="str">
        <f>VLOOKUP(C780,Customers!$A$2:$F$1001,3,FALSE())</f>
        <v>South</v>
      </c>
      <c r="N780" t="str">
        <f>VLOOKUP(C780,Customers!$A$2:$F$1001,4,FALSE())</f>
        <v>Consumer</v>
      </c>
    </row>
    <row r="781" spans="1:14" x14ac:dyDescent="0.25">
      <c r="A781">
        <v>780</v>
      </c>
      <c r="B781" t="s">
        <v>1821</v>
      </c>
      <c r="C781" t="s">
        <v>1432</v>
      </c>
      <c r="D781" t="s">
        <v>1816</v>
      </c>
      <c r="E781">
        <v>2</v>
      </c>
      <c r="F781">
        <v>25</v>
      </c>
      <c r="G781">
        <v>50</v>
      </c>
      <c r="H781" s="9">
        <v>0.25</v>
      </c>
      <c r="I781">
        <v>-2.5</v>
      </c>
      <c r="J781" s="10">
        <f t="shared" si="24"/>
        <v>2</v>
      </c>
      <c r="K781" s="11">
        <f t="shared" si="25"/>
        <v>-0.05</v>
      </c>
      <c r="L781" t="str">
        <f>VLOOKUP(C781,Customers!$A$2:$F$1001,2,FALSE())</f>
        <v>Deborah Wright</v>
      </c>
      <c r="M781" t="str">
        <f>VLOOKUP(C781,Customers!$A$2:$F$1001,3,FALSE())</f>
        <v>South</v>
      </c>
      <c r="N781" t="str">
        <f>VLOOKUP(C781,Customers!$A$2:$F$1001,4,FALSE())</f>
        <v>Consumer</v>
      </c>
    </row>
    <row r="782" spans="1:14" x14ac:dyDescent="0.25">
      <c r="A782">
        <v>781</v>
      </c>
      <c r="B782" t="s">
        <v>2018</v>
      </c>
      <c r="C782" t="s">
        <v>1433</v>
      </c>
      <c r="D782" t="s">
        <v>1812</v>
      </c>
      <c r="E782">
        <v>1</v>
      </c>
      <c r="F782">
        <v>500</v>
      </c>
      <c r="G782">
        <v>500</v>
      </c>
      <c r="H782" s="9">
        <v>0</v>
      </c>
      <c r="I782">
        <v>172.07</v>
      </c>
      <c r="J782" s="10">
        <f t="shared" si="24"/>
        <v>12</v>
      </c>
      <c r="K782" s="11">
        <f t="shared" si="25"/>
        <v>0.34414</v>
      </c>
      <c r="L782" t="str">
        <f>VLOOKUP(C782,Customers!$A$2:$F$1001,2,FALSE())</f>
        <v>Joseph Hernandez</v>
      </c>
      <c r="M782" t="str">
        <f>VLOOKUP(C782,Customers!$A$2:$F$1001,3,FALSE())</f>
        <v>North</v>
      </c>
      <c r="N782" t="str">
        <f>VLOOKUP(C782,Customers!$A$2:$F$1001,4,FALSE())</f>
        <v>Consumer</v>
      </c>
    </row>
    <row r="783" spans="1:14" x14ac:dyDescent="0.25">
      <c r="A783">
        <v>782</v>
      </c>
      <c r="B783" t="s">
        <v>2048</v>
      </c>
      <c r="C783" t="s">
        <v>1435</v>
      </c>
      <c r="D783" t="s">
        <v>1814</v>
      </c>
      <c r="E783">
        <v>3</v>
      </c>
      <c r="F783">
        <v>300</v>
      </c>
      <c r="G783">
        <v>900</v>
      </c>
      <c r="H783" s="9">
        <v>0.15</v>
      </c>
      <c r="I783">
        <v>46.99</v>
      </c>
      <c r="J783" s="10">
        <f t="shared" si="24"/>
        <v>6</v>
      </c>
      <c r="K783" s="11">
        <f t="shared" si="25"/>
        <v>5.2211111111111111E-2</v>
      </c>
      <c r="L783" t="str">
        <f>VLOOKUP(C783,Customers!$A$2:$F$1001,2,FALSE())</f>
        <v>Richard Torres</v>
      </c>
      <c r="M783" t="str">
        <f>VLOOKUP(C783,Customers!$A$2:$F$1001,3,FALSE())</f>
        <v>West</v>
      </c>
      <c r="N783" t="str">
        <f>VLOOKUP(C783,Customers!$A$2:$F$1001,4,FALSE())</f>
        <v>Consumer</v>
      </c>
    </row>
    <row r="784" spans="1:14" x14ac:dyDescent="0.25">
      <c r="A784">
        <v>783</v>
      </c>
      <c r="B784" t="s">
        <v>1896</v>
      </c>
      <c r="C784" t="s">
        <v>1436</v>
      </c>
      <c r="D784" t="s">
        <v>1814</v>
      </c>
      <c r="E784">
        <v>1</v>
      </c>
      <c r="F784">
        <v>300</v>
      </c>
      <c r="G784">
        <v>300</v>
      </c>
      <c r="H784" s="9">
        <v>0.2</v>
      </c>
      <c r="I784">
        <v>12.96</v>
      </c>
      <c r="J784" s="10">
        <f t="shared" si="24"/>
        <v>12</v>
      </c>
      <c r="K784" s="11">
        <f t="shared" si="25"/>
        <v>4.3200000000000002E-2</v>
      </c>
      <c r="L784" t="str">
        <f>VLOOKUP(C784,Customers!$A$2:$F$1001,2,FALSE())</f>
        <v>Betty Jackson</v>
      </c>
      <c r="M784" t="str">
        <f>VLOOKUP(C784,Customers!$A$2:$F$1001,3,FALSE())</f>
        <v>North</v>
      </c>
      <c r="N784" t="str">
        <f>VLOOKUP(C784,Customers!$A$2:$F$1001,4,FALSE())</f>
        <v>Corporate</v>
      </c>
    </row>
    <row r="785" spans="1:14" x14ac:dyDescent="0.25">
      <c r="A785">
        <v>784</v>
      </c>
      <c r="B785" t="s">
        <v>2138</v>
      </c>
      <c r="C785" t="s">
        <v>1437</v>
      </c>
      <c r="D785" t="s">
        <v>1816</v>
      </c>
      <c r="E785">
        <v>1</v>
      </c>
      <c r="F785">
        <v>500</v>
      </c>
      <c r="G785">
        <v>500</v>
      </c>
      <c r="H785" s="9">
        <v>0</v>
      </c>
      <c r="I785">
        <v>79.400000000000006</v>
      </c>
      <c r="J785" s="10">
        <f t="shared" si="24"/>
        <v>11</v>
      </c>
      <c r="K785" s="11">
        <f t="shared" si="25"/>
        <v>0.15880000000000002</v>
      </c>
      <c r="L785" t="str">
        <f>VLOOKUP(C785,Customers!$A$2:$F$1001,2,FALSE())</f>
        <v>Edward Harris</v>
      </c>
      <c r="M785" t="str">
        <f>VLOOKUP(C785,Customers!$A$2:$F$1001,3,FALSE())</f>
        <v>North</v>
      </c>
      <c r="N785" t="str">
        <f>VLOOKUP(C785,Customers!$A$2:$F$1001,4,FALSE())</f>
        <v>Consumer</v>
      </c>
    </row>
    <row r="786" spans="1:14" x14ac:dyDescent="0.25">
      <c r="A786">
        <v>785</v>
      </c>
      <c r="B786" t="s">
        <v>1977</v>
      </c>
      <c r="C786" t="s">
        <v>1439</v>
      </c>
      <c r="D786" t="s">
        <v>1812</v>
      </c>
      <c r="E786">
        <v>4</v>
      </c>
      <c r="F786">
        <v>50</v>
      </c>
      <c r="G786">
        <v>200</v>
      </c>
      <c r="H786" s="9">
        <v>0.05</v>
      </c>
      <c r="I786">
        <v>59.59</v>
      </c>
      <c r="J786" s="10">
        <f t="shared" si="24"/>
        <v>3</v>
      </c>
      <c r="K786" s="11">
        <f t="shared" si="25"/>
        <v>0.29794999999999999</v>
      </c>
      <c r="L786" t="str">
        <f>VLOOKUP(C786,Customers!$A$2:$F$1001,2,FALSE())</f>
        <v>Amanda Flores</v>
      </c>
      <c r="M786" t="str">
        <f>VLOOKUP(C786,Customers!$A$2:$F$1001,3,FALSE())</f>
        <v>North</v>
      </c>
      <c r="N786" t="str">
        <f>VLOOKUP(C786,Customers!$A$2:$F$1001,4,FALSE())</f>
        <v>Consumer</v>
      </c>
    </row>
    <row r="787" spans="1:14" x14ac:dyDescent="0.25">
      <c r="A787">
        <v>786</v>
      </c>
      <c r="B787" t="s">
        <v>2036</v>
      </c>
      <c r="C787" t="s">
        <v>1441</v>
      </c>
      <c r="D787" t="s">
        <v>1814</v>
      </c>
      <c r="E787">
        <v>4</v>
      </c>
      <c r="F787">
        <v>25</v>
      </c>
      <c r="G787">
        <v>100</v>
      </c>
      <c r="H787" s="9">
        <v>0.2</v>
      </c>
      <c r="I787">
        <v>-1.23</v>
      </c>
      <c r="J787" s="10">
        <f t="shared" si="24"/>
        <v>10</v>
      </c>
      <c r="K787" s="11">
        <f t="shared" si="25"/>
        <v>-1.23E-2</v>
      </c>
      <c r="L787" t="str">
        <f>VLOOKUP(C787,Customers!$A$2:$F$1001,2,FALSE())</f>
        <v>Patricia Anderson</v>
      </c>
      <c r="M787" t="str">
        <f>VLOOKUP(C787,Customers!$A$2:$F$1001,3,FALSE())</f>
        <v>West</v>
      </c>
      <c r="N787" t="str">
        <f>VLOOKUP(C787,Customers!$A$2:$F$1001,4,FALSE())</f>
        <v>Corporate</v>
      </c>
    </row>
    <row r="788" spans="1:14" x14ac:dyDescent="0.25">
      <c r="A788">
        <v>787</v>
      </c>
      <c r="B788" t="s">
        <v>2070</v>
      </c>
      <c r="C788" t="s">
        <v>1443</v>
      </c>
      <c r="D788" t="s">
        <v>1816</v>
      </c>
      <c r="E788">
        <v>1</v>
      </c>
      <c r="F788">
        <v>25</v>
      </c>
      <c r="G788">
        <v>25</v>
      </c>
      <c r="H788" s="9">
        <v>0.25</v>
      </c>
      <c r="I788">
        <v>-1.25</v>
      </c>
      <c r="J788" s="10">
        <f t="shared" si="24"/>
        <v>1</v>
      </c>
      <c r="K788" s="11">
        <f t="shared" si="25"/>
        <v>-0.05</v>
      </c>
      <c r="L788" t="str">
        <f>VLOOKUP(C788,Customers!$A$2:$F$1001,2,FALSE())</f>
        <v>Andrew Allen</v>
      </c>
      <c r="M788" t="str">
        <f>VLOOKUP(C788,Customers!$A$2:$F$1001,3,FALSE())</f>
        <v>South</v>
      </c>
      <c r="N788" t="str">
        <f>VLOOKUP(C788,Customers!$A$2:$F$1001,4,FALSE())</f>
        <v>Corporate</v>
      </c>
    </row>
    <row r="789" spans="1:14" x14ac:dyDescent="0.25">
      <c r="A789">
        <v>788</v>
      </c>
      <c r="B789" t="s">
        <v>2139</v>
      </c>
      <c r="C789" t="s">
        <v>1444</v>
      </c>
      <c r="D789" t="s">
        <v>1812</v>
      </c>
      <c r="E789">
        <v>3</v>
      </c>
      <c r="F789">
        <v>300</v>
      </c>
      <c r="G789">
        <v>900</v>
      </c>
      <c r="H789" s="9">
        <v>0</v>
      </c>
      <c r="I789">
        <v>324.75</v>
      </c>
      <c r="J789" s="10">
        <f t="shared" si="24"/>
        <v>6</v>
      </c>
      <c r="K789" s="11">
        <f t="shared" si="25"/>
        <v>0.36083333333333334</v>
      </c>
      <c r="L789" t="str">
        <f>VLOOKUP(C789,Customers!$A$2:$F$1001,2,FALSE())</f>
        <v>Linda Gonzalez</v>
      </c>
      <c r="M789" t="str">
        <f>VLOOKUP(C789,Customers!$A$2:$F$1001,3,FALSE())</f>
        <v>East</v>
      </c>
      <c r="N789" t="str">
        <f>VLOOKUP(C789,Customers!$A$2:$F$1001,4,FALSE())</f>
        <v>Corporate</v>
      </c>
    </row>
    <row r="790" spans="1:14" x14ac:dyDescent="0.25">
      <c r="A790">
        <v>789</v>
      </c>
      <c r="B790" t="s">
        <v>1962</v>
      </c>
      <c r="C790" t="s">
        <v>1446</v>
      </c>
      <c r="D790" t="s">
        <v>1814</v>
      </c>
      <c r="E790">
        <v>4</v>
      </c>
      <c r="F790">
        <v>500</v>
      </c>
      <c r="G790">
        <v>2000</v>
      </c>
      <c r="H790" s="9">
        <v>0.05</v>
      </c>
      <c r="I790">
        <v>422.97</v>
      </c>
      <c r="J790" s="10">
        <f t="shared" si="24"/>
        <v>9</v>
      </c>
      <c r="K790" s="11">
        <f t="shared" si="25"/>
        <v>0.21148500000000001</v>
      </c>
      <c r="L790" t="str">
        <f>VLOOKUP(C790,Customers!$A$2:$F$1001,2,FALSE())</f>
        <v>Betty Young</v>
      </c>
      <c r="M790" t="str">
        <f>VLOOKUP(C790,Customers!$A$2:$F$1001,3,FALSE())</f>
        <v>West</v>
      </c>
      <c r="N790" t="str">
        <f>VLOOKUP(C790,Customers!$A$2:$F$1001,4,FALSE())</f>
        <v>Home Office</v>
      </c>
    </row>
    <row r="791" spans="1:14" x14ac:dyDescent="0.25">
      <c r="A791">
        <v>790</v>
      </c>
      <c r="B791" t="s">
        <v>1916</v>
      </c>
      <c r="C791" t="s">
        <v>1447</v>
      </c>
      <c r="D791" t="s">
        <v>1814</v>
      </c>
      <c r="E791">
        <v>1</v>
      </c>
      <c r="F791">
        <v>25</v>
      </c>
      <c r="G791">
        <v>25</v>
      </c>
      <c r="H791" s="9">
        <v>0.1</v>
      </c>
      <c r="I791">
        <v>3.18</v>
      </c>
      <c r="J791" s="10">
        <f t="shared" si="24"/>
        <v>8</v>
      </c>
      <c r="K791" s="11">
        <f t="shared" si="25"/>
        <v>0.12720000000000001</v>
      </c>
      <c r="L791" t="str">
        <f>VLOOKUP(C791,Customers!$A$2:$F$1001,2,FALSE())</f>
        <v>Jennifer Harris</v>
      </c>
      <c r="M791" t="str">
        <f>VLOOKUP(C791,Customers!$A$2:$F$1001,3,FALSE())</f>
        <v>North</v>
      </c>
      <c r="N791" t="str">
        <f>VLOOKUP(C791,Customers!$A$2:$F$1001,4,FALSE())</f>
        <v>Consumer</v>
      </c>
    </row>
    <row r="792" spans="1:14" x14ac:dyDescent="0.25">
      <c r="A792">
        <v>791</v>
      </c>
      <c r="B792" t="s">
        <v>1873</v>
      </c>
      <c r="C792" t="s">
        <v>1448</v>
      </c>
      <c r="D792" t="s">
        <v>1812</v>
      </c>
      <c r="E792">
        <v>1</v>
      </c>
      <c r="F792">
        <v>25</v>
      </c>
      <c r="G792">
        <v>25</v>
      </c>
      <c r="H792" s="9">
        <v>0</v>
      </c>
      <c r="I792">
        <v>9.56</v>
      </c>
      <c r="J792" s="10">
        <f t="shared" si="24"/>
        <v>12</v>
      </c>
      <c r="K792" s="11">
        <f t="shared" si="25"/>
        <v>0.38240000000000002</v>
      </c>
      <c r="L792" t="str">
        <f>VLOOKUP(C792,Customers!$A$2:$F$1001,2,FALSE())</f>
        <v>Joseph Rodriguez</v>
      </c>
      <c r="M792" t="str">
        <f>VLOOKUP(C792,Customers!$A$2:$F$1001,3,FALSE())</f>
        <v>East</v>
      </c>
      <c r="N792" t="str">
        <f>VLOOKUP(C792,Customers!$A$2:$F$1001,4,FALSE())</f>
        <v>Home Office</v>
      </c>
    </row>
    <row r="793" spans="1:14" x14ac:dyDescent="0.25">
      <c r="A793">
        <v>792</v>
      </c>
      <c r="B793" t="s">
        <v>1881</v>
      </c>
      <c r="C793" t="s">
        <v>1450</v>
      </c>
      <c r="D793" t="s">
        <v>1812</v>
      </c>
      <c r="E793">
        <v>1</v>
      </c>
      <c r="F793">
        <v>50</v>
      </c>
      <c r="G793">
        <v>50</v>
      </c>
      <c r="H793" s="9">
        <v>0.05</v>
      </c>
      <c r="I793">
        <v>14.51</v>
      </c>
      <c r="J793" s="10">
        <f t="shared" si="24"/>
        <v>7</v>
      </c>
      <c r="K793" s="11">
        <f t="shared" si="25"/>
        <v>0.29020000000000001</v>
      </c>
      <c r="L793" t="str">
        <f>VLOOKUP(C793,Customers!$A$2:$F$1001,2,FALSE())</f>
        <v>Margaret Taylor</v>
      </c>
      <c r="M793" t="str">
        <f>VLOOKUP(C793,Customers!$A$2:$F$1001,3,FALSE())</f>
        <v>South</v>
      </c>
      <c r="N793" t="str">
        <f>VLOOKUP(C793,Customers!$A$2:$F$1001,4,FALSE())</f>
        <v>Consumer</v>
      </c>
    </row>
    <row r="794" spans="1:14" x14ac:dyDescent="0.25">
      <c r="A794">
        <v>793</v>
      </c>
      <c r="B794" t="s">
        <v>1871</v>
      </c>
      <c r="C794" t="s">
        <v>1452</v>
      </c>
      <c r="D794" t="s">
        <v>1812</v>
      </c>
      <c r="E794">
        <v>1</v>
      </c>
      <c r="F794">
        <v>30</v>
      </c>
      <c r="G794">
        <v>30</v>
      </c>
      <c r="H794" s="9">
        <v>0</v>
      </c>
      <c r="I794">
        <v>11.21</v>
      </c>
      <c r="J794" s="10">
        <f t="shared" si="24"/>
        <v>2</v>
      </c>
      <c r="K794" s="11">
        <f t="shared" si="25"/>
        <v>0.3736666666666667</v>
      </c>
      <c r="L794" t="str">
        <f>VLOOKUP(C794,Customers!$A$2:$F$1001,2,FALSE())</f>
        <v>Ashley Gonzalez</v>
      </c>
      <c r="M794" t="str">
        <f>VLOOKUP(C794,Customers!$A$2:$F$1001,3,FALSE())</f>
        <v>North</v>
      </c>
      <c r="N794" t="str">
        <f>VLOOKUP(C794,Customers!$A$2:$F$1001,4,FALSE())</f>
        <v>Corporate</v>
      </c>
    </row>
    <row r="795" spans="1:14" x14ac:dyDescent="0.25">
      <c r="A795">
        <v>794</v>
      </c>
      <c r="B795" t="s">
        <v>1943</v>
      </c>
      <c r="C795" t="s">
        <v>1454</v>
      </c>
      <c r="D795" t="s">
        <v>1812</v>
      </c>
      <c r="E795">
        <v>1</v>
      </c>
      <c r="F795">
        <v>300</v>
      </c>
      <c r="G795">
        <v>300</v>
      </c>
      <c r="H795" s="9">
        <v>0</v>
      </c>
      <c r="I795">
        <v>100.59</v>
      </c>
      <c r="J795" s="10">
        <f t="shared" si="24"/>
        <v>9</v>
      </c>
      <c r="K795" s="11">
        <f t="shared" si="25"/>
        <v>0.33529999999999999</v>
      </c>
      <c r="L795" t="str">
        <f>VLOOKUP(C795,Customers!$A$2:$F$1001,2,FALSE())</f>
        <v>Dorothy Brown</v>
      </c>
      <c r="M795" t="str">
        <f>VLOOKUP(C795,Customers!$A$2:$F$1001,3,FALSE())</f>
        <v>East</v>
      </c>
      <c r="N795" t="str">
        <f>VLOOKUP(C795,Customers!$A$2:$F$1001,4,FALSE())</f>
        <v>Home Office</v>
      </c>
    </row>
    <row r="796" spans="1:14" x14ac:dyDescent="0.25">
      <c r="A796">
        <v>795</v>
      </c>
      <c r="B796" t="s">
        <v>1887</v>
      </c>
      <c r="C796" t="s">
        <v>1456</v>
      </c>
      <c r="D796" t="s">
        <v>1816</v>
      </c>
      <c r="E796">
        <v>1</v>
      </c>
      <c r="F796">
        <v>300</v>
      </c>
      <c r="G796">
        <v>300</v>
      </c>
      <c r="H796" s="9">
        <v>0.1</v>
      </c>
      <c r="I796">
        <v>-7.31</v>
      </c>
      <c r="J796" s="10">
        <f t="shared" si="24"/>
        <v>11</v>
      </c>
      <c r="K796" s="11">
        <f t="shared" si="25"/>
        <v>-2.4366666666666665E-2</v>
      </c>
      <c r="L796" t="str">
        <f>VLOOKUP(C796,Customers!$A$2:$F$1001,2,FALSE())</f>
        <v>Carol Johnson</v>
      </c>
      <c r="M796" t="str">
        <f>VLOOKUP(C796,Customers!$A$2:$F$1001,3,FALSE())</f>
        <v>West</v>
      </c>
      <c r="N796" t="str">
        <f>VLOOKUP(C796,Customers!$A$2:$F$1001,4,FALSE())</f>
        <v>Home Office</v>
      </c>
    </row>
    <row r="797" spans="1:14" x14ac:dyDescent="0.25">
      <c r="A797">
        <v>796</v>
      </c>
      <c r="B797" t="s">
        <v>1847</v>
      </c>
      <c r="C797" t="s">
        <v>1457</v>
      </c>
      <c r="D797" t="s">
        <v>1812</v>
      </c>
      <c r="E797">
        <v>4</v>
      </c>
      <c r="F797">
        <v>30</v>
      </c>
      <c r="G797">
        <v>120</v>
      </c>
      <c r="H797" s="9">
        <v>0.1</v>
      </c>
      <c r="I797">
        <v>28.57</v>
      </c>
      <c r="J797" s="10">
        <f t="shared" si="24"/>
        <v>6</v>
      </c>
      <c r="K797" s="11">
        <f t="shared" si="25"/>
        <v>0.23808333333333334</v>
      </c>
      <c r="L797" t="str">
        <f>VLOOKUP(C797,Customers!$A$2:$F$1001,2,FALSE())</f>
        <v>Andrew Wilson</v>
      </c>
      <c r="M797" t="str">
        <f>VLOOKUP(C797,Customers!$A$2:$F$1001,3,FALSE())</f>
        <v>South</v>
      </c>
      <c r="N797" t="str">
        <f>VLOOKUP(C797,Customers!$A$2:$F$1001,4,FALSE())</f>
        <v>Corporate</v>
      </c>
    </row>
    <row r="798" spans="1:14" x14ac:dyDescent="0.25">
      <c r="A798">
        <v>797</v>
      </c>
      <c r="B798" t="s">
        <v>2140</v>
      </c>
      <c r="C798" t="s">
        <v>1458</v>
      </c>
      <c r="D798" t="s">
        <v>1814</v>
      </c>
      <c r="E798">
        <v>3</v>
      </c>
      <c r="F798">
        <v>25</v>
      </c>
      <c r="G798">
        <v>75</v>
      </c>
      <c r="H798" s="9">
        <v>0.1</v>
      </c>
      <c r="I798">
        <v>11.38</v>
      </c>
      <c r="J798" s="10">
        <f t="shared" si="24"/>
        <v>1</v>
      </c>
      <c r="K798" s="11">
        <f t="shared" si="25"/>
        <v>0.15173333333333333</v>
      </c>
      <c r="L798" t="str">
        <f>VLOOKUP(C798,Customers!$A$2:$F$1001,2,FALSE())</f>
        <v>Karen Smith</v>
      </c>
      <c r="M798" t="str">
        <f>VLOOKUP(C798,Customers!$A$2:$F$1001,3,FALSE())</f>
        <v>East</v>
      </c>
      <c r="N798" t="str">
        <f>VLOOKUP(C798,Customers!$A$2:$F$1001,4,FALSE())</f>
        <v>Corporate</v>
      </c>
    </row>
    <row r="799" spans="1:14" x14ac:dyDescent="0.25">
      <c r="A799">
        <v>798</v>
      </c>
      <c r="B799" t="s">
        <v>2093</v>
      </c>
      <c r="C799" t="s">
        <v>1460</v>
      </c>
      <c r="D799" t="s">
        <v>1814</v>
      </c>
      <c r="E799">
        <v>1</v>
      </c>
      <c r="F799">
        <v>50</v>
      </c>
      <c r="G799">
        <v>50</v>
      </c>
      <c r="H799" s="9">
        <v>0.15</v>
      </c>
      <c r="I799">
        <v>4.3600000000000003</v>
      </c>
      <c r="J799" s="10">
        <f t="shared" si="24"/>
        <v>8</v>
      </c>
      <c r="K799" s="11">
        <f t="shared" si="25"/>
        <v>8.72E-2</v>
      </c>
      <c r="L799" t="str">
        <f>VLOOKUP(C799,Customers!$A$2:$F$1001,2,FALSE())</f>
        <v>Emily Miller</v>
      </c>
      <c r="M799" t="str">
        <f>VLOOKUP(C799,Customers!$A$2:$F$1001,3,FALSE())</f>
        <v>South</v>
      </c>
      <c r="N799" t="str">
        <f>VLOOKUP(C799,Customers!$A$2:$F$1001,4,FALSE())</f>
        <v>Consumer</v>
      </c>
    </row>
    <row r="800" spans="1:14" x14ac:dyDescent="0.25">
      <c r="A800">
        <v>799</v>
      </c>
      <c r="B800" t="s">
        <v>1954</v>
      </c>
      <c r="C800" t="s">
        <v>1461</v>
      </c>
      <c r="D800" t="s">
        <v>1816</v>
      </c>
      <c r="E800">
        <v>2</v>
      </c>
      <c r="F800">
        <v>50</v>
      </c>
      <c r="G800">
        <v>100</v>
      </c>
      <c r="H800" s="9">
        <v>0.05</v>
      </c>
      <c r="I800">
        <v>10.27</v>
      </c>
      <c r="J800" s="10">
        <f t="shared" si="24"/>
        <v>9</v>
      </c>
      <c r="K800" s="11">
        <f t="shared" si="25"/>
        <v>0.1027</v>
      </c>
      <c r="L800" t="str">
        <f>VLOOKUP(C800,Customers!$A$2:$F$1001,2,FALSE())</f>
        <v>Steven Robinson</v>
      </c>
      <c r="M800" t="str">
        <f>VLOOKUP(C800,Customers!$A$2:$F$1001,3,FALSE())</f>
        <v>East</v>
      </c>
      <c r="N800" t="str">
        <f>VLOOKUP(C800,Customers!$A$2:$F$1001,4,FALSE())</f>
        <v>Corporate</v>
      </c>
    </row>
    <row r="801" spans="1:14" x14ac:dyDescent="0.25">
      <c r="A801">
        <v>800</v>
      </c>
      <c r="B801" t="s">
        <v>1944</v>
      </c>
      <c r="C801" t="s">
        <v>1463</v>
      </c>
      <c r="D801" t="s">
        <v>1814</v>
      </c>
      <c r="E801">
        <v>4</v>
      </c>
      <c r="F801">
        <v>300</v>
      </c>
      <c r="G801">
        <v>1200</v>
      </c>
      <c r="H801" s="9">
        <v>0</v>
      </c>
      <c r="I801">
        <v>287.45</v>
      </c>
      <c r="J801" s="10">
        <f t="shared" si="24"/>
        <v>2</v>
      </c>
      <c r="K801" s="11">
        <f t="shared" si="25"/>
        <v>0.23954166666666665</v>
      </c>
      <c r="L801" t="str">
        <f>VLOOKUP(C801,Customers!$A$2:$F$1001,2,FALSE())</f>
        <v>Kevin Lewis</v>
      </c>
      <c r="M801" t="str">
        <f>VLOOKUP(C801,Customers!$A$2:$F$1001,3,FALSE())</f>
        <v>East</v>
      </c>
      <c r="N801" t="str">
        <f>VLOOKUP(C801,Customers!$A$2:$F$1001,4,FALSE())</f>
        <v>Corporate</v>
      </c>
    </row>
    <row r="802" spans="1:14" x14ac:dyDescent="0.25">
      <c r="A802">
        <v>801</v>
      </c>
      <c r="B802" t="s">
        <v>2141</v>
      </c>
      <c r="C802" t="s">
        <v>1464</v>
      </c>
      <c r="D802" t="s">
        <v>1814</v>
      </c>
      <c r="E802">
        <v>4</v>
      </c>
      <c r="F802">
        <v>50</v>
      </c>
      <c r="G802">
        <v>200</v>
      </c>
      <c r="H802" s="9">
        <v>0</v>
      </c>
      <c r="I802">
        <v>45.16</v>
      </c>
      <c r="J802" s="10">
        <f t="shared" si="24"/>
        <v>8</v>
      </c>
      <c r="K802" s="11">
        <f t="shared" si="25"/>
        <v>0.22579999999999997</v>
      </c>
      <c r="L802" t="str">
        <f>VLOOKUP(C802,Customers!$A$2:$F$1001,2,FALSE())</f>
        <v>Jessica Robinson</v>
      </c>
      <c r="M802" t="str">
        <f>VLOOKUP(C802,Customers!$A$2:$F$1001,3,FALSE())</f>
        <v>East</v>
      </c>
      <c r="N802" t="str">
        <f>VLOOKUP(C802,Customers!$A$2:$F$1001,4,FALSE())</f>
        <v>Home Office</v>
      </c>
    </row>
    <row r="803" spans="1:14" x14ac:dyDescent="0.25">
      <c r="A803">
        <v>802</v>
      </c>
      <c r="B803" t="s">
        <v>1867</v>
      </c>
      <c r="C803" t="s">
        <v>1466</v>
      </c>
      <c r="D803" t="s">
        <v>1812</v>
      </c>
      <c r="E803">
        <v>1</v>
      </c>
      <c r="F803">
        <v>30</v>
      </c>
      <c r="G803">
        <v>30</v>
      </c>
      <c r="H803" s="9">
        <v>0</v>
      </c>
      <c r="I803">
        <v>11</v>
      </c>
      <c r="J803" s="10">
        <f t="shared" si="24"/>
        <v>7</v>
      </c>
      <c r="K803" s="11">
        <f t="shared" si="25"/>
        <v>0.36666666666666664</v>
      </c>
      <c r="L803" t="str">
        <f>VLOOKUP(C803,Customers!$A$2:$F$1001,2,FALSE())</f>
        <v>Dorothy Gonzalez</v>
      </c>
      <c r="M803" t="str">
        <f>VLOOKUP(C803,Customers!$A$2:$F$1001,3,FALSE())</f>
        <v>East</v>
      </c>
      <c r="N803" t="str">
        <f>VLOOKUP(C803,Customers!$A$2:$F$1001,4,FALSE())</f>
        <v>Consumer</v>
      </c>
    </row>
    <row r="804" spans="1:14" x14ac:dyDescent="0.25">
      <c r="A804">
        <v>803</v>
      </c>
      <c r="B804" t="s">
        <v>1878</v>
      </c>
      <c r="C804" t="s">
        <v>1467</v>
      </c>
      <c r="D804" t="s">
        <v>1814</v>
      </c>
      <c r="E804">
        <v>4</v>
      </c>
      <c r="F804">
        <v>25</v>
      </c>
      <c r="G804">
        <v>100</v>
      </c>
      <c r="H804" s="9">
        <v>0.05</v>
      </c>
      <c r="I804">
        <v>20.28</v>
      </c>
      <c r="J804" s="10">
        <f t="shared" si="24"/>
        <v>11</v>
      </c>
      <c r="K804" s="11">
        <f t="shared" si="25"/>
        <v>0.20280000000000001</v>
      </c>
      <c r="L804" t="str">
        <f>VLOOKUP(C804,Customers!$A$2:$F$1001,2,FALSE())</f>
        <v>Michael Scott</v>
      </c>
      <c r="M804" t="str">
        <f>VLOOKUP(C804,Customers!$A$2:$F$1001,3,FALSE())</f>
        <v>North</v>
      </c>
      <c r="N804" t="str">
        <f>VLOOKUP(C804,Customers!$A$2:$F$1001,4,FALSE())</f>
        <v>Consumer</v>
      </c>
    </row>
    <row r="805" spans="1:14" x14ac:dyDescent="0.25">
      <c r="A805">
        <v>804</v>
      </c>
      <c r="B805" t="s">
        <v>1858</v>
      </c>
      <c r="C805" t="s">
        <v>1469</v>
      </c>
      <c r="D805" t="s">
        <v>1816</v>
      </c>
      <c r="E805">
        <v>1</v>
      </c>
      <c r="F805">
        <v>30</v>
      </c>
      <c r="G805">
        <v>30</v>
      </c>
      <c r="H805" s="9">
        <v>0</v>
      </c>
      <c r="I805">
        <v>4</v>
      </c>
      <c r="J805" s="10">
        <f t="shared" si="24"/>
        <v>8</v>
      </c>
      <c r="K805" s="11">
        <f t="shared" si="25"/>
        <v>0.13333333333333333</v>
      </c>
      <c r="L805" t="str">
        <f>VLOOKUP(C805,Customers!$A$2:$F$1001,2,FALSE())</f>
        <v>Linda White</v>
      </c>
      <c r="M805" t="str">
        <f>VLOOKUP(C805,Customers!$A$2:$F$1001,3,FALSE())</f>
        <v>East</v>
      </c>
      <c r="N805" t="str">
        <f>VLOOKUP(C805,Customers!$A$2:$F$1001,4,FALSE())</f>
        <v>Corporate</v>
      </c>
    </row>
    <row r="806" spans="1:14" x14ac:dyDescent="0.25">
      <c r="A806">
        <v>805</v>
      </c>
      <c r="B806" t="s">
        <v>1981</v>
      </c>
      <c r="C806" t="s">
        <v>1470</v>
      </c>
      <c r="D806" t="s">
        <v>1812</v>
      </c>
      <c r="E806">
        <v>3</v>
      </c>
      <c r="F806">
        <v>500</v>
      </c>
      <c r="G806">
        <v>1500</v>
      </c>
      <c r="H806" s="9">
        <v>0</v>
      </c>
      <c r="I806">
        <v>574.91999999999996</v>
      </c>
      <c r="J806" s="10">
        <f t="shared" si="24"/>
        <v>12</v>
      </c>
      <c r="K806" s="11">
        <f t="shared" si="25"/>
        <v>0.38327999999999995</v>
      </c>
      <c r="L806" t="str">
        <f>VLOOKUP(C806,Customers!$A$2:$F$1001,2,FALSE())</f>
        <v>Barbara Garcia</v>
      </c>
      <c r="M806" t="str">
        <f>VLOOKUP(C806,Customers!$A$2:$F$1001,3,FALSE())</f>
        <v>East</v>
      </c>
      <c r="N806" t="str">
        <f>VLOOKUP(C806,Customers!$A$2:$F$1001,4,FALSE())</f>
        <v>Consumer</v>
      </c>
    </row>
    <row r="807" spans="1:14" x14ac:dyDescent="0.25">
      <c r="A807">
        <v>806</v>
      </c>
      <c r="B807" t="s">
        <v>1925</v>
      </c>
      <c r="C807" t="s">
        <v>1472</v>
      </c>
      <c r="D807" t="s">
        <v>1812</v>
      </c>
      <c r="E807">
        <v>3</v>
      </c>
      <c r="F807">
        <v>300</v>
      </c>
      <c r="G807">
        <v>900</v>
      </c>
      <c r="H807" s="9">
        <v>0</v>
      </c>
      <c r="I807">
        <v>291.16000000000003</v>
      </c>
      <c r="J807" s="10">
        <f t="shared" si="24"/>
        <v>3</v>
      </c>
      <c r="K807" s="11">
        <f t="shared" si="25"/>
        <v>0.32351111111111114</v>
      </c>
      <c r="L807" t="str">
        <f>VLOOKUP(C807,Customers!$A$2:$F$1001,2,FALSE())</f>
        <v>Joshua Garcia</v>
      </c>
      <c r="M807" t="str">
        <f>VLOOKUP(C807,Customers!$A$2:$F$1001,3,FALSE())</f>
        <v>East</v>
      </c>
      <c r="N807" t="str">
        <f>VLOOKUP(C807,Customers!$A$2:$F$1001,4,FALSE())</f>
        <v>Consumer</v>
      </c>
    </row>
    <row r="808" spans="1:14" x14ac:dyDescent="0.25">
      <c r="A808">
        <v>807</v>
      </c>
      <c r="B808" t="s">
        <v>1938</v>
      </c>
      <c r="C808" t="s">
        <v>1474</v>
      </c>
      <c r="D808" t="s">
        <v>1816</v>
      </c>
      <c r="E808">
        <v>4</v>
      </c>
      <c r="F808">
        <v>50</v>
      </c>
      <c r="G808">
        <v>200</v>
      </c>
      <c r="H808" s="9">
        <v>0.1</v>
      </c>
      <c r="I808">
        <v>2.5</v>
      </c>
      <c r="J808" s="10">
        <f t="shared" si="24"/>
        <v>8</v>
      </c>
      <c r="K808" s="11">
        <f t="shared" si="25"/>
        <v>1.2500000000000001E-2</v>
      </c>
      <c r="L808" t="str">
        <f>VLOOKUP(C808,Customers!$A$2:$F$1001,2,FALSE())</f>
        <v>Kimberly Ramirez</v>
      </c>
      <c r="M808" t="str">
        <f>VLOOKUP(C808,Customers!$A$2:$F$1001,3,FALSE())</f>
        <v>North</v>
      </c>
      <c r="N808" t="str">
        <f>VLOOKUP(C808,Customers!$A$2:$F$1001,4,FALSE())</f>
        <v>Consumer</v>
      </c>
    </row>
    <row r="809" spans="1:14" x14ac:dyDescent="0.25">
      <c r="A809">
        <v>808</v>
      </c>
      <c r="B809" t="s">
        <v>2072</v>
      </c>
      <c r="C809" t="s">
        <v>1476</v>
      </c>
      <c r="D809" t="s">
        <v>1812</v>
      </c>
      <c r="E809">
        <v>4</v>
      </c>
      <c r="F809">
        <v>500</v>
      </c>
      <c r="G809">
        <v>2000</v>
      </c>
      <c r="H809" s="9">
        <v>0.1</v>
      </c>
      <c r="I809">
        <v>558.19000000000005</v>
      </c>
      <c r="J809" s="10">
        <f t="shared" si="24"/>
        <v>4</v>
      </c>
      <c r="K809" s="11">
        <f t="shared" si="25"/>
        <v>0.27909500000000004</v>
      </c>
      <c r="L809" t="str">
        <f>VLOOKUP(C809,Customers!$A$2:$F$1001,2,FALSE())</f>
        <v>Patricia Miller</v>
      </c>
      <c r="M809" t="str">
        <f>VLOOKUP(C809,Customers!$A$2:$F$1001,3,FALSE())</f>
        <v>South</v>
      </c>
      <c r="N809" t="str">
        <f>VLOOKUP(C809,Customers!$A$2:$F$1001,4,FALSE())</f>
        <v>Corporate</v>
      </c>
    </row>
    <row r="810" spans="1:14" x14ac:dyDescent="0.25">
      <c r="A810">
        <v>809</v>
      </c>
      <c r="B810" t="s">
        <v>2037</v>
      </c>
      <c r="C810" t="s">
        <v>1478</v>
      </c>
      <c r="D810" t="s">
        <v>1812</v>
      </c>
      <c r="E810">
        <v>2</v>
      </c>
      <c r="F810">
        <v>50</v>
      </c>
      <c r="G810">
        <v>100</v>
      </c>
      <c r="H810" s="9">
        <v>0.2</v>
      </c>
      <c r="I810">
        <v>13.61</v>
      </c>
      <c r="J810" s="10">
        <f t="shared" si="24"/>
        <v>9</v>
      </c>
      <c r="K810" s="11">
        <f t="shared" si="25"/>
        <v>0.1361</v>
      </c>
      <c r="L810" t="str">
        <f>VLOOKUP(C810,Customers!$A$2:$F$1001,2,FALSE())</f>
        <v>Michelle Lee</v>
      </c>
      <c r="M810" t="str">
        <f>VLOOKUP(C810,Customers!$A$2:$F$1001,3,FALSE())</f>
        <v>South</v>
      </c>
      <c r="N810" t="str">
        <f>VLOOKUP(C810,Customers!$A$2:$F$1001,4,FALSE())</f>
        <v>Consumer</v>
      </c>
    </row>
    <row r="811" spans="1:14" x14ac:dyDescent="0.25">
      <c r="A811">
        <v>810</v>
      </c>
      <c r="B811" t="s">
        <v>2012</v>
      </c>
      <c r="C811" t="s">
        <v>1480</v>
      </c>
      <c r="D811" t="s">
        <v>1816</v>
      </c>
      <c r="E811">
        <v>4</v>
      </c>
      <c r="F811">
        <v>25</v>
      </c>
      <c r="G811">
        <v>100</v>
      </c>
      <c r="H811" s="9">
        <v>0.15</v>
      </c>
      <c r="I811">
        <v>-4.07</v>
      </c>
      <c r="J811" s="10">
        <f t="shared" si="24"/>
        <v>11</v>
      </c>
      <c r="K811" s="11">
        <f t="shared" si="25"/>
        <v>-4.07E-2</v>
      </c>
      <c r="L811" t="str">
        <f>VLOOKUP(C811,Customers!$A$2:$F$1001,2,FALSE())</f>
        <v>Michael Flores</v>
      </c>
      <c r="M811" t="str">
        <f>VLOOKUP(C811,Customers!$A$2:$F$1001,3,FALSE())</f>
        <v>North</v>
      </c>
      <c r="N811" t="str">
        <f>VLOOKUP(C811,Customers!$A$2:$F$1001,4,FALSE())</f>
        <v>Consumer</v>
      </c>
    </row>
    <row r="812" spans="1:14" x14ac:dyDescent="0.25">
      <c r="A812">
        <v>811</v>
      </c>
      <c r="B812" t="s">
        <v>1893</v>
      </c>
      <c r="C812" t="s">
        <v>1482</v>
      </c>
      <c r="D812" t="s">
        <v>1812</v>
      </c>
      <c r="E812">
        <v>2</v>
      </c>
      <c r="F812">
        <v>25</v>
      </c>
      <c r="G812">
        <v>50</v>
      </c>
      <c r="H812" s="9">
        <v>0.1</v>
      </c>
      <c r="I812">
        <v>11.93</v>
      </c>
      <c r="J812" s="10">
        <f t="shared" si="24"/>
        <v>5</v>
      </c>
      <c r="K812" s="11">
        <f t="shared" si="25"/>
        <v>0.23860000000000001</v>
      </c>
      <c r="L812" t="str">
        <f>VLOOKUP(C812,Customers!$A$2:$F$1001,2,FALSE())</f>
        <v>Susan Smith</v>
      </c>
      <c r="M812" t="str">
        <f>VLOOKUP(C812,Customers!$A$2:$F$1001,3,FALSE())</f>
        <v>North</v>
      </c>
      <c r="N812" t="str">
        <f>VLOOKUP(C812,Customers!$A$2:$F$1001,4,FALSE())</f>
        <v>Consumer</v>
      </c>
    </row>
    <row r="813" spans="1:14" x14ac:dyDescent="0.25">
      <c r="A813">
        <v>812</v>
      </c>
      <c r="B813" t="s">
        <v>2095</v>
      </c>
      <c r="C813" t="s">
        <v>1484</v>
      </c>
      <c r="D813" t="s">
        <v>1816</v>
      </c>
      <c r="E813">
        <v>3</v>
      </c>
      <c r="F813">
        <v>25</v>
      </c>
      <c r="G813">
        <v>75</v>
      </c>
      <c r="H813" s="9">
        <v>0</v>
      </c>
      <c r="I813">
        <v>11.6</v>
      </c>
      <c r="J813" s="10">
        <f t="shared" si="24"/>
        <v>11</v>
      </c>
      <c r="K813" s="11">
        <f t="shared" si="25"/>
        <v>0.15466666666666667</v>
      </c>
      <c r="L813" t="str">
        <f>VLOOKUP(C813,Customers!$A$2:$F$1001,2,FALSE())</f>
        <v>George Smith</v>
      </c>
      <c r="M813" t="str">
        <f>VLOOKUP(C813,Customers!$A$2:$F$1001,3,FALSE())</f>
        <v>South</v>
      </c>
      <c r="N813" t="str">
        <f>VLOOKUP(C813,Customers!$A$2:$F$1001,4,FALSE())</f>
        <v>Home Office</v>
      </c>
    </row>
    <row r="814" spans="1:14" x14ac:dyDescent="0.25">
      <c r="A814">
        <v>813</v>
      </c>
      <c r="B814" t="s">
        <v>1913</v>
      </c>
      <c r="C814" t="s">
        <v>1485</v>
      </c>
      <c r="D814" t="s">
        <v>1816</v>
      </c>
      <c r="E814">
        <v>3</v>
      </c>
      <c r="F814">
        <v>50</v>
      </c>
      <c r="G814">
        <v>150</v>
      </c>
      <c r="H814" s="9">
        <v>0.1</v>
      </c>
      <c r="I814">
        <v>-7.5</v>
      </c>
      <c r="J814" s="10">
        <f t="shared" si="24"/>
        <v>10</v>
      </c>
      <c r="K814" s="11">
        <f t="shared" si="25"/>
        <v>-0.05</v>
      </c>
      <c r="L814" t="str">
        <f>VLOOKUP(C814,Customers!$A$2:$F$1001,2,FALSE())</f>
        <v>Betty Flores</v>
      </c>
      <c r="M814" t="str">
        <f>VLOOKUP(C814,Customers!$A$2:$F$1001,3,FALSE())</f>
        <v>East</v>
      </c>
      <c r="N814" t="str">
        <f>VLOOKUP(C814,Customers!$A$2:$F$1001,4,FALSE())</f>
        <v>Corporate</v>
      </c>
    </row>
    <row r="815" spans="1:14" x14ac:dyDescent="0.25">
      <c r="A815">
        <v>814</v>
      </c>
      <c r="B815" t="s">
        <v>2142</v>
      </c>
      <c r="C815" t="s">
        <v>1487</v>
      </c>
      <c r="D815" t="s">
        <v>1814</v>
      </c>
      <c r="E815">
        <v>1</v>
      </c>
      <c r="F815">
        <v>500</v>
      </c>
      <c r="G815">
        <v>500</v>
      </c>
      <c r="H815" s="9">
        <v>0</v>
      </c>
      <c r="I815">
        <v>111.4</v>
      </c>
      <c r="J815" s="10">
        <f t="shared" si="24"/>
        <v>9</v>
      </c>
      <c r="K815" s="11">
        <f t="shared" si="25"/>
        <v>0.2228</v>
      </c>
      <c r="L815" t="str">
        <f>VLOOKUP(C815,Customers!$A$2:$F$1001,2,FALSE())</f>
        <v>Mark White</v>
      </c>
      <c r="M815" t="str">
        <f>VLOOKUP(C815,Customers!$A$2:$F$1001,3,FALSE())</f>
        <v>North</v>
      </c>
      <c r="N815" t="str">
        <f>VLOOKUP(C815,Customers!$A$2:$F$1001,4,FALSE())</f>
        <v>Consumer</v>
      </c>
    </row>
    <row r="816" spans="1:14" x14ac:dyDescent="0.25">
      <c r="A816">
        <v>815</v>
      </c>
      <c r="B816" t="s">
        <v>2100</v>
      </c>
      <c r="C816" t="s">
        <v>1489</v>
      </c>
      <c r="D816" t="s">
        <v>1814</v>
      </c>
      <c r="E816">
        <v>3</v>
      </c>
      <c r="F816">
        <v>25</v>
      </c>
      <c r="G816">
        <v>75</v>
      </c>
      <c r="H816" s="9">
        <v>0.05</v>
      </c>
      <c r="I816">
        <v>14.14</v>
      </c>
      <c r="J816" s="10">
        <f t="shared" si="24"/>
        <v>8</v>
      </c>
      <c r="K816" s="11">
        <f t="shared" si="25"/>
        <v>0.18853333333333333</v>
      </c>
      <c r="L816" t="str">
        <f>VLOOKUP(C816,Customers!$A$2:$F$1001,2,FALSE())</f>
        <v>Karen Garcia</v>
      </c>
      <c r="M816" t="str">
        <f>VLOOKUP(C816,Customers!$A$2:$F$1001,3,FALSE())</f>
        <v>West</v>
      </c>
      <c r="N816" t="str">
        <f>VLOOKUP(C816,Customers!$A$2:$F$1001,4,FALSE())</f>
        <v>Consumer</v>
      </c>
    </row>
    <row r="817" spans="1:14" x14ac:dyDescent="0.25">
      <c r="A817">
        <v>816</v>
      </c>
      <c r="B817" t="s">
        <v>2083</v>
      </c>
      <c r="C817" t="s">
        <v>1491</v>
      </c>
      <c r="D817" t="s">
        <v>1812</v>
      </c>
      <c r="E817">
        <v>2</v>
      </c>
      <c r="F817">
        <v>500</v>
      </c>
      <c r="G817">
        <v>1000</v>
      </c>
      <c r="H817" s="9">
        <v>0.05</v>
      </c>
      <c r="I817">
        <v>279.3</v>
      </c>
      <c r="J817" s="10">
        <f t="shared" si="24"/>
        <v>8</v>
      </c>
      <c r="K817" s="11">
        <f t="shared" si="25"/>
        <v>0.27929999999999999</v>
      </c>
      <c r="L817" t="str">
        <f>VLOOKUP(C817,Customers!$A$2:$F$1001,2,FALSE())</f>
        <v>Mark Scott</v>
      </c>
      <c r="M817" t="str">
        <f>VLOOKUP(C817,Customers!$A$2:$F$1001,3,FALSE())</f>
        <v>East</v>
      </c>
      <c r="N817" t="str">
        <f>VLOOKUP(C817,Customers!$A$2:$F$1001,4,FALSE())</f>
        <v>Corporate</v>
      </c>
    </row>
    <row r="818" spans="1:14" x14ac:dyDescent="0.25">
      <c r="A818">
        <v>817</v>
      </c>
      <c r="B818" t="s">
        <v>2129</v>
      </c>
      <c r="C818" t="s">
        <v>1493</v>
      </c>
      <c r="D818" t="s">
        <v>1812</v>
      </c>
      <c r="E818">
        <v>4</v>
      </c>
      <c r="F818">
        <v>50</v>
      </c>
      <c r="G818">
        <v>200</v>
      </c>
      <c r="H818" s="9">
        <v>0.05</v>
      </c>
      <c r="I818">
        <v>59.48</v>
      </c>
      <c r="J818" s="10">
        <f t="shared" si="24"/>
        <v>10</v>
      </c>
      <c r="K818" s="11">
        <f t="shared" si="25"/>
        <v>0.2974</v>
      </c>
      <c r="L818" t="str">
        <f>VLOOKUP(C818,Customers!$A$2:$F$1001,2,FALSE())</f>
        <v>John Scott</v>
      </c>
      <c r="M818" t="str">
        <f>VLOOKUP(C818,Customers!$A$2:$F$1001,3,FALSE())</f>
        <v>East</v>
      </c>
      <c r="N818" t="str">
        <f>VLOOKUP(C818,Customers!$A$2:$F$1001,4,FALSE())</f>
        <v>Consumer</v>
      </c>
    </row>
    <row r="819" spans="1:14" x14ac:dyDescent="0.25">
      <c r="A819">
        <v>818</v>
      </c>
      <c r="B819" t="s">
        <v>1902</v>
      </c>
      <c r="C819" t="s">
        <v>1495</v>
      </c>
      <c r="D819" t="s">
        <v>1816</v>
      </c>
      <c r="E819">
        <v>1</v>
      </c>
      <c r="F819">
        <v>500</v>
      </c>
      <c r="G819">
        <v>500</v>
      </c>
      <c r="H819" s="9">
        <v>0</v>
      </c>
      <c r="I819">
        <v>91.94</v>
      </c>
      <c r="J819" s="10">
        <f t="shared" si="24"/>
        <v>5</v>
      </c>
      <c r="K819" s="11">
        <f t="shared" si="25"/>
        <v>0.18387999999999999</v>
      </c>
      <c r="L819" t="str">
        <f>VLOOKUP(C819,Customers!$A$2:$F$1001,2,FALSE())</f>
        <v>Christopher Perez</v>
      </c>
      <c r="M819" t="str">
        <f>VLOOKUP(C819,Customers!$A$2:$F$1001,3,FALSE())</f>
        <v>South</v>
      </c>
      <c r="N819" t="str">
        <f>VLOOKUP(C819,Customers!$A$2:$F$1001,4,FALSE())</f>
        <v>Corporate</v>
      </c>
    </row>
    <row r="820" spans="1:14" x14ac:dyDescent="0.25">
      <c r="A820">
        <v>819</v>
      </c>
      <c r="B820" t="s">
        <v>1953</v>
      </c>
      <c r="C820" t="s">
        <v>1497</v>
      </c>
      <c r="D820" t="s">
        <v>1812</v>
      </c>
      <c r="E820">
        <v>2</v>
      </c>
      <c r="F820">
        <v>50</v>
      </c>
      <c r="G820">
        <v>100</v>
      </c>
      <c r="H820" s="9">
        <v>0.1</v>
      </c>
      <c r="I820">
        <v>22.04</v>
      </c>
      <c r="J820" s="10">
        <f t="shared" si="24"/>
        <v>6</v>
      </c>
      <c r="K820" s="11">
        <f t="shared" si="25"/>
        <v>0.22039999999999998</v>
      </c>
      <c r="L820" t="str">
        <f>VLOOKUP(C820,Customers!$A$2:$F$1001,2,FALSE())</f>
        <v>David Harris</v>
      </c>
      <c r="M820" t="str">
        <f>VLOOKUP(C820,Customers!$A$2:$F$1001,3,FALSE())</f>
        <v>South</v>
      </c>
      <c r="N820" t="str">
        <f>VLOOKUP(C820,Customers!$A$2:$F$1001,4,FALSE())</f>
        <v>Consumer</v>
      </c>
    </row>
    <row r="821" spans="1:14" x14ac:dyDescent="0.25">
      <c r="A821">
        <v>820</v>
      </c>
      <c r="B821" t="s">
        <v>1818</v>
      </c>
      <c r="C821" t="s">
        <v>1499</v>
      </c>
      <c r="D821" t="s">
        <v>1816</v>
      </c>
      <c r="E821">
        <v>4</v>
      </c>
      <c r="F821">
        <v>50</v>
      </c>
      <c r="G821">
        <v>200</v>
      </c>
      <c r="H821" s="9">
        <v>0.15</v>
      </c>
      <c r="I821">
        <v>-10</v>
      </c>
      <c r="J821" s="10">
        <f t="shared" si="24"/>
        <v>5</v>
      </c>
      <c r="K821" s="11">
        <f t="shared" si="25"/>
        <v>-0.05</v>
      </c>
      <c r="L821" t="str">
        <f>VLOOKUP(C821,Customers!$A$2:$F$1001,2,FALSE())</f>
        <v>Elizabeth Hernandez</v>
      </c>
      <c r="M821" t="str">
        <f>VLOOKUP(C821,Customers!$A$2:$F$1001,3,FALSE())</f>
        <v>East</v>
      </c>
      <c r="N821" t="str">
        <f>VLOOKUP(C821,Customers!$A$2:$F$1001,4,FALSE())</f>
        <v>Home Office</v>
      </c>
    </row>
    <row r="822" spans="1:14" x14ac:dyDescent="0.25">
      <c r="A822">
        <v>821</v>
      </c>
      <c r="B822" t="s">
        <v>1824</v>
      </c>
      <c r="C822" t="s">
        <v>1501</v>
      </c>
      <c r="D822" t="s">
        <v>1816</v>
      </c>
      <c r="E822">
        <v>1</v>
      </c>
      <c r="F822">
        <v>300</v>
      </c>
      <c r="G822">
        <v>300</v>
      </c>
      <c r="H822" s="9">
        <v>0.15</v>
      </c>
      <c r="I822">
        <v>-6.08</v>
      </c>
      <c r="J822" s="10">
        <f t="shared" si="24"/>
        <v>2</v>
      </c>
      <c r="K822" s="11">
        <f t="shared" si="25"/>
        <v>-2.0266666666666665E-2</v>
      </c>
      <c r="L822" t="str">
        <f>VLOOKUP(C822,Customers!$A$2:$F$1001,2,FALSE())</f>
        <v>Andrew Williams</v>
      </c>
      <c r="M822" t="str">
        <f>VLOOKUP(C822,Customers!$A$2:$F$1001,3,FALSE())</f>
        <v>West</v>
      </c>
      <c r="N822" t="str">
        <f>VLOOKUP(C822,Customers!$A$2:$F$1001,4,FALSE())</f>
        <v>Consumer</v>
      </c>
    </row>
    <row r="823" spans="1:14" x14ac:dyDescent="0.25">
      <c r="A823">
        <v>822</v>
      </c>
      <c r="B823" t="s">
        <v>1843</v>
      </c>
      <c r="C823" t="s">
        <v>1503</v>
      </c>
      <c r="D823" t="s">
        <v>1812</v>
      </c>
      <c r="E823">
        <v>3</v>
      </c>
      <c r="F823">
        <v>50</v>
      </c>
      <c r="G823">
        <v>150</v>
      </c>
      <c r="H823" s="9">
        <v>0.1</v>
      </c>
      <c r="I823">
        <v>33.03</v>
      </c>
      <c r="J823" s="10">
        <f t="shared" si="24"/>
        <v>5</v>
      </c>
      <c r="K823" s="11">
        <f t="shared" si="25"/>
        <v>0.22020000000000001</v>
      </c>
      <c r="L823" t="str">
        <f>VLOOKUP(C823,Customers!$A$2:$F$1001,2,FALSE())</f>
        <v>Daniel White</v>
      </c>
      <c r="M823" t="str">
        <f>VLOOKUP(C823,Customers!$A$2:$F$1001,3,FALSE())</f>
        <v>South</v>
      </c>
      <c r="N823" t="str">
        <f>VLOOKUP(C823,Customers!$A$2:$F$1001,4,FALSE())</f>
        <v>Corporate</v>
      </c>
    </row>
    <row r="824" spans="1:14" x14ac:dyDescent="0.25">
      <c r="A824">
        <v>823</v>
      </c>
      <c r="B824" t="s">
        <v>2118</v>
      </c>
      <c r="C824" t="s">
        <v>1505</v>
      </c>
      <c r="D824" t="s">
        <v>1816</v>
      </c>
      <c r="E824">
        <v>2</v>
      </c>
      <c r="F824">
        <v>50</v>
      </c>
      <c r="G824">
        <v>100</v>
      </c>
      <c r="H824" s="9">
        <v>0.05</v>
      </c>
      <c r="I824">
        <v>8.5299999999999994</v>
      </c>
      <c r="J824" s="10">
        <f t="shared" si="24"/>
        <v>8</v>
      </c>
      <c r="K824" s="11">
        <f t="shared" si="25"/>
        <v>8.5299999999999987E-2</v>
      </c>
      <c r="L824" t="str">
        <f>VLOOKUP(C824,Customers!$A$2:$F$1001,2,FALSE())</f>
        <v>Michael Lopez</v>
      </c>
      <c r="M824" t="str">
        <f>VLOOKUP(C824,Customers!$A$2:$F$1001,3,FALSE())</f>
        <v>East</v>
      </c>
      <c r="N824" t="str">
        <f>VLOOKUP(C824,Customers!$A$2:$F$1001,4,FALSE())</f>
        <v>Consumer</v>
      </c>
    </row>
    <row r="825" spans="1:14" x14ac:dyDescent="0.25">
      <c r="A825">
        <v>824</v>
      </c>
      <c r="B825" t="s">
        <v>1993</v>
      </c>
      <c r="C825" t="s">
        <v>1507</v>
      </c>
      <c r="D825" t="s">
        <v>1814</v>
      </c>
      <c r="E825">
        <v>4</v>
      </c>
      <c r="F825">
        <v>30</v>
      </c>
      <c r="G825">
        <v>120</v>
      </c>
      <c r="H825" s="9">
        <v>0</v>
      </c>
      <c r="I825">
        <v>28.95</v>
      </c>
      <c r="J825" s="10">
        <f t="shared" si="24"/>
        <v>5</v>
      </c>
      <c r="K825" s="11">
        <f t="shared" si="25"/>
        <v>0.24124999999999999</v>
      </c>
      <c r="L825" t="str">
        <f>VLOOKUP(C825,Customers!$A$2:$F$1001,2,FALSE())</f>
        <v>Sarah Clark</v>
      </c>
      <c r="M825" t="str">
        <f>VLOOKUP(C825,Customers!$A$2:$F$1001,3,FALSE())</f>
        <v>East</v>
      </c>
      <c r="N825" t="str">
        <f>VLOOKUP(C825,Customers!$A$2:$F$1001,4,FALSE())</f>
        <v>Home Office</v>
      </c>
    </row>
    <row r="826" spans="1:14" x14ac:dyDescent="0.25">
      <c r="A826">
        <v>825</v>
      </c>
      <c r="B826" t="s">
        <v>2114</v>
      </c>
      <c r="C826" t="s">
        <v>1509</v>
      </c>
      <c r="D826" t="s">
        <v>1812</v>
      </c>
      <c r="E826">
        <v>1</v>
      </c>
      <c r="F826">
        <v>25</v>
      </c>
      <c r="G826">
        <v>25</v>
      </c>
      <c r="H826" s="9">
        <v>0.1</v>
      </c>
      <c r="I826">
        <v>7.43</v>
      </c>
      <c r="J826" s="10">
        <f t="shared" si="24"/>
        <v>8</v>
      </c>
      <c r="K826" s="11">
        <f t="shared" si="25"/>
        <v>0.29719999999999996</v>
      </c>
      <c r="L826" t="str">
        <f>VLOOKUP(C826,Customers!$A$2:$F$1001,2,FALSE())</f>
        <v>Edward King</v>
      </c>
      <c r="M826" t="str">
        <f>VLOOKUP(C826,Customers!$A$2:$F$1001,3,FALSE())</f>
        <v>East</v>
      </c>
      <c r="N826" t="str">
        <f>VLOOKUP(C826,Customers!$A$2:$F$1001,4,FALSE())</f>
        <v>Home Office</v>
      </c>
    </row>
    <row r="827" spans="1:14" x14ac:dyDescent="0.25">
      <c r="A827">
        <v>826</v>
      </c>
      <c r="B827" t="s">
        <v>2032</v>
      </c>
      <c r="C827" t="s">
        <v>1510</v>
      </c>
      <c r="D827" t="s">
        <v>1814</v>
      </c>
      <c r="E827">
        <v>1</v>
      </c>
      <c r="F827">
        <v>300</v>
      </c>
      <c r="G827">
        <v>300</v>
      </c>
      <c r="H827" s="9">
        <v>0.05</v>
      </c>
      <c r="I827">
        <v>36.83</v>
      </c>
      <c r="J827" s="10">
        <f t="shared" si="24"/>
        <v>10</v>
      </c>
      <c r="K827" s="11">
        <f t="shared" si="25"/>
        <v>0.12276666666666666</v>
      </c>
      <c r="L827" t="str">
        <f>VLOOKUP(C827,Customers!$A$2:$F$1001,2,FALSE())</f>
        <v>Elizabeth Smith</v>
      </c>
      <c r="M827" t="str">
        <f>VLOOKUP(C827,Customers!$A$2:$F$1001,3,FALSE())</f>
        <v>North</v>
      </c>
      <c r="N827" t="str">
        <f>VLOOKUP(C827,Customers!$A$2:$F$1001,4,FALSE())</f>
        <v>Corporate</v>
      </c>
    </row>
    <row r="828" spans="1:14" x14ac:dyDescent="0.25">
      <c r="A828">
        <v>827</v>
      </c>
      <c r="B828" t="s">
        <v>2103</v>
      </c>
      <c r="C828" t="s">
        <v>1512</v>
      </c>
      <c r="D828" t="s">
        <v>1812</v>
      </c>
      <c r="E828">
        <v>3</v>
      </c>
      <c r="F828">
        <v>300</v>
      </c>
      <c r="G828">
        <v>900</v>
      </c>
      <c r="H828" s="9">
        <v>0</v>
      </c>
      <c r="I828">
        <v>304.51</v>
      </c>
      <c r="J828" s="10">
        <f t="shared" si="24"/>
        <v>11</v>
      </c>
      <c r="K828" s="11">
        <f t="shared" si="25"/>
        <v>0.33834444444444445</v>
      </c>
      <c r="L828" t="str">
        <f>VLOOKUP(C828,Customers!$A$2:$F$1001,2,FALSE())</f>
        <v>Robert White</v>
      </c>
      <c r="M828" t="str">
        <f>VLOOKUP(C828,Customers!$A$2:$F$1001,3,FALSE())</f>
        <v>South</v>
      </c>
      <c r="N828" t="str">
        <f>VLOOKUP(C828,Customers!$A$2:$F$1001,4,FALSE())</f>
        <v>Consumer</v>
      </c>
    </row>
    <row r="829" spans="1:14" x14ac:dyDescent="0.25">
      <c r="A829">
        <v>828</v>
      </c>
      <c r="B829" t="s">
        <v>1988</v>
      </c>
      <c r="C829" t="s">
        <v>1514</v>
      </c>
      <c r="D829" t="s">
        <v>1816</v>
      </c>
      <c r="E829">
        <v>4</v>
      </c>
      <c r="F829">
        <v>300</v>
      </c>
      <c r="G829">
        <v>1200</v>
      </c>
      <c r="H829" s="9">
        <v>0.05</v>
      </c>
      <c r="I829">
        <v>107.87</v>
      </c>
      <c r="J829" s="10">
        <f t="shared" si="24"/>
        <v>12</v>
      </c>
      <c r="K829" s="11">
        <f t="shared" si="25"/>
        <v>8.9891666666666675E-2</v>
      </c>
      <c r="L829" t="str">
        <f>VLOOKUP(C829,Customers!$A$2:$F$1001,2,FALSE())</f>
        <v>Linda Martinez</v>
      </c>
      <c r="M829" t="str">
        <f>VLOOKUP(C829,Customers!$A$2:$F$1001,3,FALSE())</f>
        <v>South</v>
      </c>
      <c r="N829" t="str">
        <f>VLOOKUP(C829,Customers!$A$2:$F$1001,4,FALSE())</f>
        <v>Consumer</v>
      </c>
    </row>
    <row r="830" spans="1:14" x14ac:dyDescent="0.25">
      <c r="A830">
        <v>829</v>
      </c>
      <c r="B830" t="s">
        <v>1851</v>
      </c>
      <c r="C830" t="s">
        <v>1515</v>
      </c>
      <c r="D830" t="s">
        <v>1812</v>
      </c>
      <c r="E830">
        <v>3</v>
      </c>
      <c r="F830">
        <v>30</v>
      </c>
      <c r="G830">
        <v>90</v>
      </c>
      <c r="H830" s="9">
        <v>0.2</v>
      </c>
      <c r="I830">
        <v>7.79</v>
      </c>
      <c r="J830" s="10">
        <f t="shared" si="24"/>
        <v>7</v>
      </c>
      <c r="K830" s="11">
        <f t="shared" si="25"/>
        <v>8.6555555555555552E-2</v>
      </c>
      <c r="L830" t="str">
        <f>VLOOKUP(C830,Customers!$A$2:$F$1001,2,FALSE())</f>
        <v>Kevin Wright</v>
      </c>
      <c r="M830" t="str">
        <f>VLOOKUP(C830,Customers!$A$2:$F$1001,3,FALSE())</f>
        <v>West</v>
      </c>
      <c r="N830" t="str">
        <f>VLOOKUP(C830,Customers!$A$2:$F$1001,4,FALSE())</f>
        <v>Home Office</v>
      </c>
    </row>
    <row r="831" spans="1:14" x14ac:dyDescent="0.25">
      <c r="A831">
        <v>830</v>
      </c>
      <c r="B831" t="s">
        <v>1850</v>
      </c>
      <c r="C831" t="s">
        <v>1517</v>
      </c>
      <c r="D831" t="s">
        <v>1814</v>
      </c>
      <c r="E831">
        <v>3</v>
      </c>
      <c r="F831">
        <v>50</v>
      </c>
      <c r="G831">
        <v>150</v>
      </c>
      <c r="H831" s="9">
        <v>0.1</v>
      </c>
      <c r="I831">
        <v>23.55</v>
      </c>
      <c r="J831" s="10">
        <f t="shared" si="24"/>
        <v>6</v>
      </c>
      <c r="K831" s="11">
        <f t="shared" si="25"/>
        <v>0.157</v>
      </c>
      <c r="L831" t="str">
        <f>VLOOKUP(C831,Customers!$A$2:$F$1001,2,FALSE())</f>
        <v>Dorothy Hernandez</v>
      </c>
      <c r="M831" t="str">
        <f>VLOOKUP(C831,Customers!$A$2:$F$1001,3,FALSE())</f>
        <v>South</v>
      </c>
      <c r="N831" t="str">
        <f>VLOOKUP(C831,Customers!$A$2:$F$1001,4,FALSE())</f>
        <v>Corporate</v>
      </c>
    </row>
    <row r="832" spans="1:14" x14ac:dyDescent="0.25">
      <c r="A832">
        <v>831</v>
      </c>
      <c r="B832" t="s">
        <v>2081</v>
      </c>
      <c r="C832" t="s">
        <v>1519</v>
      </c>
      <c r="D832" t="s">
        <v>1816</v>
      </c>
      <c r="E832">
        <v>4</v>
      </c>
      <c r="F832">
        <v>25</v>
      </c>
      <c r="G832">
        <v>100</v>
      </c>
      <c r="H832" s="9">
        <v>0.05</v>
      </c>
      <c r="I832">
        <v>11.44</v>
      </c>
      <c r="J832" s="10">
        <f t="shared" si="24"/>
        <v>1</v>
      </c>
      <c r="K832" s="11">
        <f t="shared" si="25"/>
        <v>0.1144</v>
      </c>
      <c r="L832" t="str">
        <f>VLOOKUP(C832,Customers!$A$2:$F$1001,2,FALSE())</f>
        <v>Donald Harris</v>
      </c>
      <c r="M832" t="str">
        <f>VLOOKUP(C832,Customers!$A$2:$F$1001,3,FALSE())</f>
        <v>South</v>
      </c>
      <c r="N832" t="str">
        <f>VLOOKUP(C832,Customers!$A$2:$F$1001,4,FALSE())</f>
        <v>Consumer</v>
      </c>
    </row>
    <row r="833" spans="1:14" x14ac:dyDescent="0.25">
      <c r="A833">
        <v>832</v>
      </c>
      <c r="B833" t="s">
        <v>2110</v>
      </c>
      <c r="C833" t="s">
        <v>1521</v>
      </c>
      <c r="D833" t="s">
        <v>1812</v>
      </c>
      <c r="E833">
        <v>4</v>
      </c>
      <c r="F833">
        <v>500</v>
      </c>
      <c r="G833">
        <v>2000</v>
      </c>
      <c r="H833" s="9">
        <v>0.1</v>
      </c>
      <c r="I833">
        <v>457.13</v>
      </c>
      <c r="J833" s="10">
        <f t="shared" si="24"/>
        <v>9</v>
      </c>
      <c r="K833" s="11">
        <f t="shared" si="25"/>
        <v>0.22856499999999999</v>
      </c>
      <c r="L833" t="str">
        <f>VLOOKUP(C833,Customers!$A$2:$F$1001,2,FALSE())</f>
        <v>Elizabeth Thompson</v>
      </c>
      <c r="M833" t="str">
        <f>VLOOKUP(C833,Customers!$A$2:$F$1001,3,FALSE())</f>
        <v>West</v>
      </c>
      <c r="N833" t="str">
        <f>VLOOKUP(C833,Customers!$A$2:$F$1001,4,FALSE())</f>
        <v>Consumer</v>
      </c>
    </row>
    <row r="834" spans="1:14" x14ac:dyDescent="0.25">
      <c r="A834">
        <v>833</v>
      </c>
      <c r="B834" t="s">
        <v>1897</v>
      </c>
      <c r="C834" t="s">
        <v>1523</v>
      </c>
      <c r="D834" t="s">
        <v>1812</v>
      </c>
      <c r="E834">
        <v>4</v>
      </c>
      <c r="F834">
        <v>50</v>
      </c>
      <c r="G834">
        <v>200</v>
      </c>
      <c r="H834" s="9">
        <v>0.05</v>
      </c>
      <c r="I834">
        <v>56.38</v>
      </c>
      <c r="J834" s="10">
        <f t="shared" ref="J834:J897" si="26">MONTH(B834)</f>
        <v>6</v>
      </c>
      <c r="K834" s="11">
        <f t="shared" ref="K834:K897" si="27">IF(G834=0,0,I834/G834)</f>
        <v>0.28190000000000004</v>
      </c>
      <c r="L834" t="str">
        <f>VLOOKUP(C834,Customers!$A$2:$F$1001,2,FALSE())</f>
        <v>Anthony Thomas</v>
      </c>
      <c r="M834" t="str">
        <f>VLOOKUP(C834,Customers!$A$2:$F$1001,3,FALSE())</f>
        <v>South</v>
      </c>
      <c r="N834" t="str">
        <f>VLOOKUP(C834,Customers!$A$2:$F$1001,4,FALSE())</f>
        <v>Consumer</v>
      </c>
    </row>
    <row r="835" spans="1:14" x14ac:dyDescent="0.25">
      <c r="A835">
        <v>834</v>
      </c>
      <c r="B835" t="s">
        <v>2008</v>
      </c>
      <c r="C835" t="s">
        <v>1525</v>
      </c>
      <c r="D835" t="s">
        <v>1812</v>
      </c>
      <c r="E835">
        <v>2</v>
      </c>
      <c r="F835">
        <v>30</v>
      </c>
      <c r="G835">
        <v>60</v>
      </c>
      <c r="H835" s="9">
        <v>0.05</v>
      </c>
      <c r="I835">
        <v>17.2</v>
      </c>
      <c r="J835" s="10">
        <f t="shared" si="26"/>
        <v>4</v>
      </c>
      <c r="K835" s="11">
        <f t="shared" si="27"/>
        <v>0.28666666666666668</v>
      </c>
      <c r="L835" t="str">
        <f>VLOOKUP(C835,Customers!$A$2:$F$1001,2,FALSE())</f>
        <v>Donna Ramirez</v>
      </c>
      <c r="M835" t="str">
        <f>VLOOKUP(C835,Customers!$A$2:$F$1001,3,FALSE())</f>
        <v>North</v>
      </c>
      <c r="N835" t="str">
        <f>VLOOKUP(C835,Customers!$A$2:$F$1001,4,FALSE())</f>
        <v>Home Office</v>
      </c>
    </row>
    <row r="836" spans="1:14" x14ac:dyDescent="0.25">
      <c r="A836">
        <v>835</v>
      </c>
      <c r="B836" t="s">
        <v>2020</v>
      </c>
      <c r="C836" t="s">
        <v>1526</v>
      </c>
      <c r="D836" t="s">
        <v>1814</v>
      </c>
      <c r="E836">
        <v>4</v>
      </c>
      <c r="F836">
        <v>50</v>
      </c>
      <c r="G836">
        <v>200</v>
      </c>
      <c r="H836" s="9">
        <v>0</v>
      </c>
      <c r="I836">
        <v>49.37</v>
      </c>
      <c r="J836" s="10">
        <f t="shared" si="26"/>
        <v>9</v>
      </c>
      <c r="K836" s="11">
        <f t="shared" si="27"/>
        <v>0.24684999999999999</v>
      </c>
      <c r="L836" t="str">
        <f>VLOOKUP(C836,Customers!$A$2:$F$1001,2,FALSE())</f>
        <v>Anthony Robinson</v>
      </c>
      <c r="M836" t="str">
        <f>VLOOKUP(C836,Customers!$A$2:$F$1001,3,FALSE())</f>
        <v>North</v>
      </c>
      <c r="N836" t="str">
        <f>VLOOKUP(C836,Customers!$A$2:$F$1001,4,FALSE())</f>
        <v>Corporate</v>
      </c>
    </row>
    <row r="837" spans="1:14" x14ac:dyDescent="0.25">
      <c r="A837">
        <v>836</v>
      </c>
      <c r="B837" t="s">
        <v>1904</v>
      </c>
      <c r="C837" t="s">
        <v>1527</v>
      </c>
      <c r="D837" t="s">
        <v>1814</v>
      </c>
      <c r="E837">
        <v>1</v>
      </c>
      <c r="F837">
        <v>50</v>
      </c>
      <c r="G837">
        <v>50</v>
      </c>
      <c r="H837" s="9">
        <v>0.05</v>
      </c>
      <c r="I837">
        <v>9.3800000000000008</v>
      </c>
      <c r="J837" s="10">
        <f t="shared" si="26"/>
        <v>4</v>
      </c>
      <c r="K837" s="11">
        <f t="shared" si="27"/>
        <v>0.18760000000000002</v>
      </c>
      <c r="L837" t="str">
        <f>VLOOKUP(C837,Customers!$A$2:$F$1001,2,FALSE())</f>
        <v>Joshua Thompson</v>
      </c>
      <c r="M837" t="str">
        <f>VLOOKUP(C837,Customers!$A$2:$F$1001,3,FALSE())</f>
        <v>North</v>
      </c>
      <c r="N837" t="str">
        <f>VLOOKUP(C837,Customers!$A$2:$F$1001,4,FALSE())</f>
        <v>Corporate</v>
      </c>
    </row>
    <row r="838" spans="1:14" x14ac:dyDescent="0.25">
      <c r="A838">
        <v>837</v>
      </c>
      <c r="B838" t="s">
        <v>1882</v>
      </c>
      <c r="C838" t="s">
        <v>1529</v>
      </c>
      <c r="D838" t="s">
        <v>1812</v>
      </c>
      <c r="E838">
        <v>3</v>
      </c>
      <c r="F838">
        <v>30</v>
      </c>
      <c r="G838">
        <v>90</v>
      </c>
      <c r="H838" s="9">
        <v>0.1</v>
      </c>
      <c r="I838">
        <v>20.190000000000001</v>
      </c>
      <c r="J838" s="10">
        <f t="shared" si="26"/>
        <v>7</v>
      </c>
      <c r="K838" s="11">
        <f t="shared" si="27"/>
        <v>0.22433333333333336</v>
      </c>
      <c r="L838" t="str">
        <f>VLOOKUP(C838,Customers!$A$2:$F$1001,2,FALSE())</f>
        <v>Susan Walker</v>
      </c>
      <c r="M838" t="str">
        <f>VLOOKUP(C838,Customers!$A$2:$F$1001,3,FALSE())</f>
        <v>North</v>
      </c>
      <c r="N838" t="str">
        <f>VLOOKUP(C838,Customers!$A$2:$F$1001,4,FALSE())</f>
        <v>Corporate</v>
      </c>
    </row>
    <row r="839" spans="1:14" x14ac:dyDescent="0.25">
      <c r="A839">
        <v>838</v>
      </c>
      <c r="B839" t="s">
        <v>2119</v>
      </c>
      <c r="C839" t="s">
        <v>1531</v>
      </c>
      <c r="D839" t="s">
        <v>1816</v>
      </c>
      <c r="E839">
        <v>2</v>
      </c>
      <c r="F839">
        <v>300</v>
      </c>
      <c r="G839">
        <v>600</v>
      </c>
      <c r="H839" s="9">
        <v>0</v>
      </c>
      <c r="I839">
        <v>94.54</v>
      </c>
      <c r="J839" s="10">
        <f t="shared" si="26"/>
        <v>5</v>
      </c>
      <c r="K839" s="11">
        <f t="shared" si="27"/>
        <v>0.15756666666666669</v>
      </c>
      <c r="L839" t="str">
        <f>VLOOKUP(C839,Customers!$A$2:$F$1001,2,FALSE())</f>
        <v>Emily Flores</v>
      </c>
      <c r="M839" t="str">
        <f>VLOOKUP(C839,Customers!$A$2:$F$1001,3,FALSE())</f>
        <v>South</v>
      </c>
      <c r="N839" t="str">
        <f>VLOOKUP(C839,Customers!$A$2:$F$1001,4,FALSE())</f>
        <v>Consumer</v>
      </c>
    </row>
    <row r="840" spans="1:14" x14ac:dyDescent="0.25">
      <c r="A840">
        <v>839</v>
      </c>
      <c r="B840" t="s">
        <v>1847</v>
      </c>
      <c r="C840" t="s">
        <v>1532</v>
      </c>
      <c r="D840" t="s">
        <v>1816</v>
      </c>
      <c r="E840">
        <v>4</v>
      </c>
      <c r="F840">
        <v>300</v>
      </c>
      <c r="G840">
        <v>1200</v>
      </c>
      <c r="H840" s="9">
        <v>0.15</v>
      </c>
      <c r="I840">
        <v>-8.8800000000000008</v>
      </c>
      <c r="J840" s="10">
        <f t="shared" si="26"/>
        <v>6</v>
      </c>
      <c r="K840" s="11">
        <f t="shared" si="27"/>
        <v>-7.4000000000000003E-3</v>
      </c>
      <c r="L840" t="str">
        <f>VLOOKUP(C840,Customers!$A$2:$F$1001,2,FALSE())</f>
        <v>Linda Taylor</v>
      </c>
      <c r="M840" t="str">
        <f>VLOOKUP(C840,Customers!$A$2:$F$1001,3,FALSE())</f>
        <v>East</v>
      </c>
      <c r="N840" t="str">
        <f>VLOOKUP(C840,Customers!$A$2:$F$1001,4,FALSE())</f>
        <v>Consumer</v>
      </c>
    </row>
    <row r="841" spans="1:14" x14ac:dyDescent="0.25">
      <c r="A841">
        <v>840</v>
      </c>
      <c r="B841" t="s">
        <v>2143</v>
      </c>
      <c r="C841" t="s">
        <v>1533</v>
      </c>
      <c r="D841" t="s">
        <v>1814</v>
      </c>
      <c r="E841">
        <v>2</v>
      </c>
      <c r="F841">
        <v>25</v>
      </c>
      <c r="G841">
        <v>50</v>
      </c>
      <c r="H841" s="9">
        <v>0</v>
      </c>
      <c r="I841">
        <v>10.65</v>
      </c>
      <c r="J841" s="10">
        <f t="shared" si="26"/>
        <v>5</v>
      </c>
      <c r="K841" s="11">
        <f t="shared" si="27"/>
        <v>0.21299999999999999</v>
      </c>
      <c r="L841" t="str">
        <f>VLOOKUP(C841,Customers!$A$2:$F$1001,2,FALSE())</f>
        <v>George Lee</v>
      </c>
      <c r="M841" t="str">
        <f>VLOOKUP(C841,Customers!$A$2:$F$1001,3,FALSE())</f>
        <v>East</v>
      </c>
      <c r="N841" t="str">
        <f>VLOOKUP(C841,Customers!$A$2:$F$1001,4,FALSE())</f>
        <v>Consumer</v>
      </c>
    </row>
    <row r="842" spans="1:14" x14ac:dyDescent="0.25">
      <c r="A842">
        <v>841</v>
      </c>
      <c r="B842" t="s">
        <v>1927</v>
      </c>
      <c r="C842" t="s">
        <v>1534</v>
      </c>
      <c r="D842" t="s">
        <v>1816</v>
      </c>
      <c r="E842">
        <v>4</v>
      </c>
      <c r="F842">
        <v>25</v>
      </c>
      <c r="G842">
        <v>100</v>
      </c>
      <c r="H842" s="9">
        <v>0.1</v>
      </c>
      <c r="I842">
        <v>-0.15</v>
      </c>
      <c r="J842" s="10">
        <f t="shared" si="26"/>
        <v>11</v>
      </c>
      <c r="K842" s="11">
        <f t="shared" si="27"/>
        <v>-1.5E-3</v>
      </c>
      <c r="L842" t="str">
        <f>VLOOKUP(C842,Customers!$A$2:$F$1001,2,FALSE())</f>
        <v>Melissa Smith</v>
      </c>
      <c r="M842" t="str">
        <f>VLOOKUP(C842,Customers!$A$2:$F$1001,3,FALSE())</f>
        <v>North</v>
      </c>
      <c r="N842" t="str">
        <f>VLOOKUP(C842,Customers!$A$2:$F$1001,4,FALSE())</f>
        <v>Corporate</v>
      </c>
    </row>
    <row r="843" spans="1:14" x14ac:dyDescent="0.25">
      <c r="A843">
        <v>842</v>
      </c>
      <c r="B843" t="s">
        <v>1838</v>
      </c>
      <c r="C843" t="s">
        <v>1536</v>
      </c>
      <c r="D843" t="s">
        <v>1814</v>
      </c>
      <c r="E843">
        <v>2</v>
      </c>
      <c r="F843">
        <v>300</v>
      </c>
      <c r="G843">
        <v>600</v>
      </c>
      <c r="H843" s="9">
        <v>0.1</v>
      </c>
      <c r="I843">
        <v>46.53</v>
      </c>
      <c r="J843" s="10">
        <f t="shared" si="26"/>
        <v>12</v>
      </c>
      <c r="K843" s="11">
        <f t="shared" si="27"/>
        <v>7.7550000000000008E-2</v>
      </c>
      <c r="L843" t="str">
        <f>VLOOKUP(C843,Customers!$A$2:$F$1001,2,FALSE())</f>
        <v>Mary Young</v>
      </c>
      <c r="M843" t="str">
        <f>VLOOKUP(C843,Customers!$A$2:$F$1001,3,FALSE())</f>
        <v>East</v>
      </c>
      <c r="N843" t="str">
        <f>VLOOKUP(C843,Customers!$A$2:$F$1001,4,FALSE())</f>
        <v>Consumer</v>
      </c>
    </row>
    <row r="844" spans="1:14" x14ac:dyDescent="0.25">
      <c r="A844">
        <v>843</v>
      </c>
      <c r="B844" t="s">
        <v>2061</v>
      </c>
      <c r="C844" t="s">
        <v>1538</v>
      </c>
      <c r="D844" t="s">
        <v>1812</v>
      </c>
      <c r="E844">
        <v>3</v>
      </c>
      <c r="F844">
        <v>500</v>
      </c>
      <c r="G844">
        <v>1500</v>
      </c>
      <c r="H844" s="9">
        <v>0.1</v>
      </c>
      <c r="I844">
        <v>383.99</v>
      </c>
      <c r="J844" s="10">
        <f t="shared" si="26"/>
        <v>5</v>
      </c>
      <c r="K844" s="11">
        <f t="shared" si="27"/>
        <v>0.25599333333333335</v>
      </c>
      <c r="L844" t="str">
        <f>VLOOKUP(C844,Customers!$A$2:$F$1001,2,FALSE())</f>
        <v>Sarah Lee</v>
      </c>
      <c r="M844" t="str">
        <f>VLOOKUP(C844,Customers!$A$2:$F$1001,3,FALSE())</f>
        <v>North</v>
      </c>
      <c r="N844" t="str">
        <f>VLOOKUP(C844,Customers!$A$2:$F$1001,4,FALSE())</f>
        <v>Consumer</v>
      </c>
    </row>
    <row r="845" spans="1:14" x14ac:dyDescent="0.25">
      <c r="A845">
        <v>844</v>
      </c>
      <c r="B845" t="s">
        <v>2019</v>
      </c>
      <c r="C845" t="s">
        <v>1540</v>
      </c>
      <c r="D845" t="s">
        <v>1814</v>
      </c>
      <c r="E845">
        <v>3</v>
      </c>
      <c r="F845">
        <v>50</v>
      </c>
      <c r="G845">
        <v>150</v>
      </c>
      <c r="H845" s="9">
        <v>0.1</v>
      </c>
      <c r="I845">
        <v>20.63</v>
      </c>
      <c r="J845" s="10">
        <f t="shared" si="26"/>
        <v>10</v>
      </c>
      <c r="K845" s="11">
        <f t="shared" si="27"/>
        <v>0.13753333333333331</v>
      </c>
      <c r="L845" t="str">
        <f>VLOOKUP(C845,Customers!$A$2:$F$1001,2,FALSE())</f>
        <v>Nancy Taylor</v>
      </c>
      <c r="M845" t="str">
        <f>VLOOKUP(C845,Customers!$A$2:$F$1001,3,FALSE())</f>
        <v>West</v>
      </c>
      <c r="N845" t="str">
        <f>VLOOKUP(C845,Customers!$A$2:$F$1001,4,FALSE())</f>
        <v>Consumer</v>
      </c>
    </row>
    <row r="846" spans="1:14" x14ac:dyDescent="0.25">
      <c r="A846">
        <v>845</v>
      </c>
      <c r="B846" t="s">
        <v>1935</v>
      </c>
      <c r="C846" t="s">
        <v>1542</v>
      </c>
      <c r="D846" t="s">
        <v>1814</v>
      </c>
      <c r="E846">
        <v>1</v>
      </c>
      <c r="F846">
        <v>500</v>
      </c>
      <c r="G846">
        <v>500</v>
      </c>
      <c r="H846" s="9">
        <v>0.2</v>
      </c>
      <c r="I846">
        <v>12.58</v>
      </c>
      <c r="J846" s="10">
        <f t="shared" si="26"/>
        <v>1</v>
      </c>
      <c r="K846" s="11">
        <f t="shared" si="27"/>
        <v>2.5160000000000002E-2</v>
      </c>
      <c r="L846" t="str">
        <f>VLOOKUP(C846,Customers!$A$2:$F$1001,2,FALSE())</f>
        <v>George Brown</v>
      </c>
      <c r="M846" t="str">
        <f>VLOOKUP(C846,Customers!$A$2:$F$1001,3,FALSE())</f>
        <v>North</v>
      </c>
      <c r="N846" t="str">
        <f>VLOOKUP(C846,Customers!$A$2:$F$1001,4,FALSE())</f>
        <v>Consumer</v>
      </c>
    </row>
    <row r="847" spans="1:14" x14ac:dyDescent="0.25">
      <c r="A847">
        <v>846</v>
      </c>
      <c r="B847" t="s">
        <v>1975</v>
      </c>
      <c r="C847" t="s">
        <v>1544</v>
      </c>
      <c r="D847" t="s">
        <v>1812</v>
      </c>
      <c r="E847">
        <v>1</v>
      </c>
      <c r="F847">
        <v>50</v>
      </c>
      <c r="G847">
        <v>50</v>
      </c>
      <c r="H847" s="9">
        <v>0.05</v>
      </c>
      <c r="I847">
        <v>12.36</v>
      </c>
      <c r="J847" s="10">
        <f t="shared" si="26"/>
        <v>9</v>
      </c>
      <c r="K847" s="11">
        <f t="shared" si="27"/>
        <v>0.24719999999999998</v>
      </c>
      <c r="L847" t="str">
        <f>VLOOKUP(C847,Customers!$A$2:$F$1001,2,FALSE())</f>
        <v>Joshua Scott</v>
      </c>
      <c r="M847" t="str">
        <f>VLOOKUP(C847,Customers!$A$2:$F$1001,3,FALSE())</f>
        <v>East</v>
      </c>
      <c r="N847" t="str">
        <f>VLOOKUP(C847,Customers!$A$2:$F$1001,4,FALSE())</f>
        <v>Corporate</v>
      </c>
    </row>
    <row r="848" spans="1:14" x14ac:dyDescent="0.25">
      <c r="A848">
        <v>847</v>
      </c>
      <c r="B848" t="s">
        <v>1995</v>
      </c>
      <c r="C848" t="s">
        <v>1546</v>
      </c>
      <c r="D848" t="s">
        <v>1816</v>
      </c>
      <c r="E848">
        <v>4</v>
      </c>
      <c r="F848">
        <v>300</v>
      </c>
      <c r="G848">
        <v>1200</v>
      </c>
      <c r="H848" s="9">
        <v>0.1</v>
      </c>
      <c r="I848">
        <v>100.26</v>
      </c>
      <c r="J848" s="10">
        <f t="shared" si="26"/>
        <v>4</v>
      </c>
      <c r="K848" s="11">
        <f t="shared" si="27"/>
        <v>8.3549999999999999E-2</v>
      </c>
      <c r="L848" t="str">
        <f>VLOOKUP(C848,Customers!$A$2:$F$1001,2,FALSE())</f>
        <v>Steven Thomas</v>
      </c>
      <c r="M848" t="str">
        <f>VLOOKUP(C848,Customers!$A$2:$F$1001,3,FALSE())</f>
        <v>South</v>
      </c>
      <c r="N848" t="str">
        <f>VLOOKUP(C848,Customers!$A$2:$F$1001,4,FALSE())</f>
        <v>Consumer</v>
      </c>
    </row>
    <row r="849" spans="1:14" x14ac:dyDescent="0.25">
      <c r="A849">
        <v>848</v>
      </c>
      <c r="B849" t="s">
        <v>1960</v>
      </c>
      <c r="C849" t="s">
        <v>1548</v>
      </c>
      <c r="D849" t="s">
        <v>1814</v>
      </c>
      <c r="E849">
        <v>3</v>
      </c>
      <c r="F849">
        <v>25</v>
      </c>
      <c r="G849">
        <v>75</v>
      </c>
      <c r="H849" s="9">
        <v>0.1</v>
      </c>
      <c r="I849">
        <v>8.3800000000000008</v>
      </c>
      <c r="J849" s="10">
        <f t="shared" si="26"/>
        <v>2</v>
      </c>
      <c r="K849" s="11">
        <f t="shared" si="27"/>
        <v>0.11173333333333334</v>
      </c>
      <c r="L849" t="str">
        <f>VLOOKUP(C849,Customers!$A$2:$F$1001,2,FALSE())</f>
        <v>David Ramirez</v>
      </c>
      <c r="M849" t="str">
        <f>VLOOKUP(C849,Customers!$A$2:$F$1001,3,FALSE())</f>
        <v>East</v>
      </c>
      <c r="N849" t="str">
        <f>VLOOKUP(C849,Customers!$A$2:$F$1001,4,FALSE())</f>
        <v>Consumer</v>
      </c>
    </row>
    <row r="850" spans="1:14" x14ac:dyDescent="0.25">
      <c r="A850">
        <v>849</v>
      </c>
      <c r="B850" t="s">
        <v>1959</v>
      </c>
      <c r="C850" t="s">
        <v>1550</v>
      </c>
      <c r="D850" t="s">
        <v>1814</v>
      </c>
      <c r="E850">
        <v>2</v>
      </c>
      <c r="F850">
        <v>25</v>
      </c>
      <c r="G850">
        <v>50</v>
      </c>
      <c r="H850" s="9">
        <v>0</v>
      </c>
      <c r="I850">
        <v>12.75</v>
      </c>
      <c r="J850" s="10">
        <f t="shared" si="26"/>
        <v>5</v>
      </c>
      <c r="K850" s="11">
        <f t="shared" si="27"/>
        <v>0.255</v>
      </c>
      <c r="L850" t="str">
        <f>VLOOKUP(C850,Customers!$A$2:$F$1001,2,FALSE())</f>
        <v>Lisa Garcia</v>
      </c>
      <c r="M850" t="str">
        <f>VLOOKUP(C850,Customers!$A$2:$F$1001,3,FALSE())</f>
        <v>South</v>
      </c>
      <c r="N850" t="str">
        <f>VLOOKUP(C850,Customers!$A$2:$F$1001,4,FALSE())</f>
        <v>Corporate</v>
      </c>
    </row>
    <row r="851" spans="1:14" x14ac:dyDescent="0.25">
      <c r="A851">
        <v>850</v>
      </c>
      <c r="B851" t="s">
        <v>1994</v>
      </c>
      <c r="C851" t="s">
        <v>1551</v>
      </c>
      <c r="D851" t="s">
        <v>1812</v>
      </c>
      <c r="E851">
        <v>2</v>
      </c>
      <c r="F851">
        <v>500</v>
      </c>
      <c r="G851">
        <v>1000</v>
      </c>
      <c r="H851" s="9">
        <v>0</v>
      </c>
      <c r="I851">
        <v>375.63</v>
      </c>
      <c r="J851" s="10">
        <f t="shared" si="26"/>
        <v>7</v>
      </c>
      <c r="K851" s="11">
        <f t="shared" si="27"/>
        <v>0.37563000000000002</v>
      </c>
      <c r="L851" t="str">
        <f>VLOOKUP(C851,Customers!$A$2:$F$1001,2,FALSE())</f>
        <v>Sarah Hill</v>
      </c>
      <c r="M851" t="str">
        <f>VLOOKUP(C851,Customers!$A$2:$F$1001,3,FALSE())</f>
        <v>East</v>
      </c>
      <c r="N851" t="str">
        <f>VLOOKUP(C851,Customers!$A$2:$F$1001,4,FALSE())</f>
        <v>Consumer</v>
      </c>
    </row>
    <row r="852" spans="1:14" x14ac:dyDescent="0.25">
      <c r="A852">
        <v>851</v>
      </c>
      <c r="B852" t="s">
        <v>1954</v>
      </c>
      <c r="C852" t="s">
        <v>1553</v>
      </c>
      <c r="D852" t="s">
        <v>1816</v>
      </c>
      <c r="E852">
        <v>2</v>
      </c>
      <c r="F852">
        <v>25</v>
      </c>
      <c r="G852">
        <v>50</v>
      </c>
      <c r="H852" s="9">
        <v>0.05</v>
      </c>
      <c r="I852">
        <v>3.02</v>
      </c>
      <c r="J852" s="10">
        <f t="shared" si="26"/>
        <v>9</v>
      </c>
      <c r="K852" s="11">
        <f t="shared" si="27"/>
        <v>6.0400000000000002E-2</v>
      </c>
      <c r="L852" t="str">
        <f>VLOOKUP(C852,Customers!$A$2:$F$1001,2,FALSE())</f>
        <v>Susan Davis</v>
      </c>
      <c r="M852" t="str">
        <f>VLOOKUP(C852,Customers!$A$2:$F$1001,3,FALSE())</f>
        <v>North</v>
      </c>
      <c r="N852" t="str">
        <f>VLOOKUP(C852,Customers!$A$2:$F$1001,4,FALSE())</f>
        <v>Consumer</v>
      </c>
    </row>
    <row r="853" spans="1:14" x14ac:dyDescent="0.25">
      <c r="A853">
        <v>852</v>
      </c>
      <c r="B853" t="s">
        <v>2019</v>
      </c>
      <c r="C853" t="s">
        <v>1555</v>
      </c>
      <c r="D853" t="s">
        <v>1814</v>
      </c>
      <c r="E853">
        <v>1</v>
      </c>
      <c r="F853">
        <v>300</v>
      </c>
      <c r="G853">
        <v>300</v>
      </c>
      <c r="H853" s="9">
        <v>0</v>
      </c>
      <c r="I853">
        <v>70.08</v>
      </c>
      <c r="J853" s="10">
        <f t="shared" si="26"/>
        <v>10</v>
      </c>
      <c r="K853" s="11">
        <f t="shared" si="27"/>
        <v>0.2336</v>
      </c>
      <c r="L853" t="str">
        <f>VLOOKUP(C853,Customers!$A$2:$F$1001,2,FALSE())</f>
        <v>Paul Davis</v>
      </c>
      <c r="M853" t="str">
        <f>VLOOKUP(C853,Customers!$A$2:$F$1001,3,FALSE())</f>
        <v>West</v>
      </c>
      <c r="N853" t="str">
        <f>VLOOKUP(C853,Customers!$A$2:$F$1001,4,FALSE())</f>
        <v>Consumer</v>
      </c>
    </row>
    <row r="854" spans="1:14" x14ac:dyDescent="0.25">
      <c r="A854">
        <v>853</v>
      </c>
      <c r="B854" t="s">
        <v>1959</v>
      </c>
      <c r="C854" t="s">
        <v>1557</v>
      </c>
      <c r="D854" t="s">
        <v>1812</v>
      </c>
      <c r="E854">
        <v>2</v>
      </c>
      <c r="F854">
        <v>500</v>
      </c>
      <c r="G854">
        <v>1000</v>
      </c>
      <c r="H854" s="9">
        <v>0.05</v>
      </c>
      <c r="I854">
        <v>295.38</v>
      </c>
      <c r="J854" s="10">
        <f t="shared" si="26"/>
        <v>5</v>
      </c>
      <c r="K854" s="11">
        <f t="shared" si="27"/>
        <v>0.29537999999999998</v>
      </c>
      <c r="L854" t="str">
        <f>VLOOKUP(C854,Customers!$A$2:$F$1001,2,FALSE())</f>
        <v>Amanda Wright</v>
      </c>
      <c r="M854" t="str">
        <f>VLOOKUP(C854,Customers!$A$2:$F$1001,3,FALSE())</f>
        <v>South</v>
      </c>
      <c r="N854" t="str">
        <f>VLOOKUP(C854,Customers!$A$2:$F$1001,4,FALSE())</f>
        <v>Home Office</v>
      </c>
    </row>
    <row r="855" spans="1:14" x14ac:dyDescent="0.25">
      <c r="A855">
        <v>854</v>
      </c>
      <c r="B855" t="s">
        <v>1970</v>
      </c>
      <c r="C855" t="s">
        <v>1559</v>
      </c>
      <c r="D855" t="s">
        <v>1814</v>
      </c>
      <c r="E855">
        <v>1</v>
      </c>
      <c r="F855">
        <v>50</v>
      </c>
      <c r="G855">
        <v>50</v>
      </c>
      <c r="H855" s="9">
        <v>0.05</v>
      </c>
      <c r="I855">
        <v>13.79</v>
      </c>
      <c r="J855" s="10">
        <f t="shared" si="26"/>
        <v>12</v>
      </c>
      <c r="K855" s="11">
        <f t="shared" si="27"/>
        <v>0.27579999999999999</v>
      </c>
      <c r="L855" t="str">
        <f>VLOOKUP(C855,Customers!$A$2:$F$1001,2,FALSE())</f>
        <v>Deborah Torres</v>
      </c>
      <c r="M855" t="str">
        <f>VLOOKUP(C855,Customers!$A$2:$F$1001,3,FALSE())</f>
        <v>East</v>
      </c>
      <c r="N855" t="str">
        <f>VLOOKUP(C855,Customers!$A$2:$F$1001,4,FALSE())</f>
        <v>Consumer</v>
      </c>
    </row>
    <row r="856" spans="1:14" x14ac:dyDescent="0.25">
      <c r="A856">
        <v>855</v>
      </c>
      <c r="B856" t="s">
        <v>1966</v>
      </c>
      <c r="C856" t="s">
        <v>1560</v>
      </c>
      <c r="D856" t="s">
        <v>1812</v>
      </c>
      <c r="E856">
        <v>1</v>
      </c>
      <c r="F856">
        <v>25</v>
      </c>
      <c r="G856">
        <v>25</v>
      </c>
      <c r="H856" s="9">
        <v>0.1</v>
      </c>
      <c r="I856">
        <v>5.98</v>
      </c>
      <c r="J856" s="10">
        <f t="shared" si="26"/>
        <v>9</v>
      </c>
      <c r="K856" s="11">
        <f t="shared" si="27"/>
        <v>0.23920000000000002</v>
      </c>
      <c r="L856" t="str">
        <f>VLOOKUP(C856,Customers!$A$2:$F$1001,2,FALSE())</f>
        <v>Richard Rodriguez</v>
      </c>
      <c r="M856" t="str">
        <f>VLOOKUP(C856,Customers!$A$2:$F$1001,3,FALSE())</f>
        <v>West</v>
      </c>
      <c r="N856" t="str">
        <f>VLOOKUP(C856,Customers!$A$2:$F$1001,4,FALSE())</f>
        <v>Corporate</v>
      </c>
    </row>
    <row r="857" spans="1:14" x14ac:dyDescent="0.25">
      <c r="A857">
        <v>856</v>
      </c>
      <c r="B857" t="s">
        <v>2002</v>
      </c>
      <c r="C857" t="s">
        <v>1562</v>
      </c>
      <c r="D857" t="s">
        <v>1816</v>
      </c>
      <c r="E857">
        <v>4</v>
      </c>
      <c r="F857">
        <v>30</v>
      </c>
      <c r="G857">
        <v>120</v>
      </c>
      <c r="H857" s="9">
        <v>0</v>
      </c>
      <c r="I857">
        <v>23.78</v>
      </c>
      <c r="J857" s="10">
        <f t="shared" si="26"/>
        <v>11</v>
      </c>
      <c r="K857" s="11">
        <f t="shared" si="27"/>
        <v>0.19816666666666669</v>
      </c>
      <c r="L857" t="str">
        <f>VLOOKUP(C857,Customers!$A$2:$F$1001,2,FALSE())</f>
        <v>Sarah Jackson</v>
      </c>
      <c r="M857" t="str">
        <f>VLOOKUP(C857,Customers!$A$2:$F$1001,3,FALSE())</f>
        <v>West</v>
      </c>
      <c r="N857" t="str">
        <f>VLOOKUP(C857,Customers!$A$2:$F$1001,4,FALSE())</f>
        <v>Home Office</v>
      </c>
    </row>
    <row r="858" spans="1:14" x14ac:dyDescent="0.25">
      <c r="A858">
        <v>857</v>
      </c>
      <c r="B858" t="s">
        <v>2144</v>
      </c>
      <c r="C858" t="s">
        <v>1564</v>
      </c>
      <c r="D858" t="s">
        <v>1816</v>
      </c>
      <c r="E858">
        <v>2</v>
      </c>
      <c r="F858">
        <v>25</v>
      </c>
      <c r="G858">
        <v>50</v>
      </c>
      <c r="H858" s="9">
        <v>0.15</v>
      </c>
      <c r="I858">
        <v>0.31</v>
      </c>
      <c r="J858" s="10">
        <f t="shared" si="26"/>
        <v>12</v>
      </c>
      <c r="K858" s="11">
        <f t="shared" si="27"/>
        <v>6.1999999999999998E-3</v>
      </c>
      <c r="L858" t="str">
        <f>VLOOKUP(C858,Customers!$A$2:$F$1001,2,FALSE())</f>
        <v>Carol Robinson</v>
      </c>
      <c r="M858" t="str">
        <f>VLOOKUP(C858,Customers!$A$2:$F$1001,3,FALSE())</f>
        <v>North</v>
      </c>
      <c r="N858" t="str">
        <f>VLOOKUP(C858,Customers!$A$2:$F$1001,4,FALSE())</f>
        <v>Corporate</v>
      </c>
    </row>
    <row r="859" spans="1:14" x14ac:dyDescent="0.25">
      <c r="A859">
        <v>858</v>
      </c>
      <c r="B859" t="s">
        <v>2145</v>
      </c>
      <c r="C859" t="s">
        <v>1566</v>
      </c>
      <c r="D859" t="s">
        <v>1816</v>
      </c>
      <c r="E859">
        <v>2</v>
      </c>
      <c r="F859">
        <v>50</v>
      </c>
      <c r="G859">
        <v>100</v>
      </c>
      <c r="H859" s="9">
        <v>0.05</v>
      </c>
      <c r="I859">
        <v>10.1</v>
      </c>
      <c r="J859" s="10">
        <f t="shared" si="26"/>
        <v>9</v>
      </c>
      <c r="K859" s="11">
        <f t="shared" si="27"/>
        <v>0.10099999999999999</v>
      </c>
      <c r="L859" t="str">
        <f>VLOOKUP(C859,Customers!$A$2:$F$1001,2,FALSE())</f>
        <v>Steven Scott</v>
      </c>
      <c r="M859" t="str">
        <f>VLOOKUP(C859,Customers!$A$2:$F$1001,3,FALSE())</f>
        <v>South</v>
      </c>
      <c r="N859" t="str">
        <f>VLOOKUP(C859,Customers!$A$2:$F$1001,4,FALSE())</f>
        <v>Consumer</v>
      </c>
    </row>
    <row r="860" spans="1:14" x14ac:dyDescent="0.25">
      <c r="A860">
        <v>859</v>
      </c>
      <c r="B860" t="s">
        <v>1841</v>
      </c>
      <c r="C860" t="s">
        <v>1568</v>
      </c>
      <c r="D860" t="s">
        <v>1816</v>
      </c>
      <c r="E860">
        <v>3</v>
      </c>
      <c r="F860">
        <v>500</v>
      </c>
      <c r="G860">
        <v>1500</v>
      </c>
      <c r="H860" s="9">
        <v>0.1</v>
      </c>
      <c r="I860">
        <v>0.49</v>
      </c>
      <c r="J860" s="10">
        <f t="shared" si="26"/>
        <v>8</v>
      </c>
      <c r="K860" s="11">
        <f t="shared" si="27"/>
        <v>3.2666666666666667E-4</v>
      </c>
      <c r="L860" t="str">
        <f>VLOOKUP(C860,Customers!$A$2:$F$1001,2,FALSE())</f>
        <v>Steven Thomas</v>
      </c>
      <c r="M860" t="str">
        <f>VLOOKUP(C860,Customers!$A$2:$F$1001,3,FALSE())</f>
        <v>North</v>
      </c>
      <c r="N860" t="str">
        <f>VLOOKUP(C860,Customers!$A$2:$F$1001,4,FALSE())</f>
        <v>Corporate</v>
      </c>
    </row>
    <row r="861" spans="1:14" x14ac:dyDescent="0.25">
      <c r="A861">
        <v>860</v>
      </c>
      <c r="B861" t="s">
        <v>2146</v>
      </c>
      <c r="C861" t="s">
        <v>1569</v>
      </c>
      <c r="D861" t="s">
        <v>1814</v>
      </c>
      <c r="E861">
        <v>4</v>
      </c>
      <c r="F861">
        <v>50</v>
      </c>
      <c r="G861">
        <v>200</v>
      </c>
      <c r="H861" s="9">
        <v>0</v>
      </c>
      <c r="I861">
        <v>56.36</v>
      </c>
      <c r="J861" s="10">
        <f t="shared" si="26"/>
        <v>1</v>
      </c>
      <c r="K861" s="11">
        <f t="shared" si="27"/>
        <v>0.28179999999999999</v>
      </c>
      <c r="L861" t="str">
        <f>VLOOKUP(C861,Customers!$A$2:$F$1001,2,FALSE())</f>
        <v>Christopher Lee</v>
      </c>
      <c r="M861" t="str">
        <f>VLOOKUP(C861,Customers!$A$2:$F$1001,3,FALSE())</f>
        <v>North</v>
      </c>
      <c r="N861" t="str">
        <f>VLOOKUP(C861,Customers!$A$2:$F$1001,4,FALSE())</f>
        <v>Consumer</v>
      </c>
    </row>
    <row r="862" spans="1:14" x14ac:dyDescent="0.25">
      <c r="A862">
        <v>861</v>
      </c>
      <c r="B862" t="s">
        <v>1829</v>
      </c>
      <c r="C862" t="s">
        <v>1571</v>
      </c>
      <c r="D862" t="s">
        <v>1814</v>
      </c>
      <c r="E862">
        <v>3</v>
      </c>
      <c r="F862">
        <v>30</v>
      </c>
      <c r="G862">
        <v>90</v>
      </c>
      <c r="H862" s="9">
        <v>0.05</v>
      </c>
      <c r="I862">
        <v>13.06</v>
      </c>
      <c r="J862" s="10">
        <f t="shared" si="26"/>
        <v>2</v>
      </c>
      <c r="K862" s="11">
        <f t="shared" si="27"/>
        <v>0.14511111111111111</v>
      </c>
      <c r="L862" t="str">
        <f>VLOOKUP(C862,Customers!$A$2:$F$1001,2,FALSE())</f>
        <v>John Robinson</v>
      </c>
      <c r="M862" t="str">
        <f>VLOOKUP(C862,Customers!$A$2:$F$1001,3,FALSE())</f>
        <v>East</v>
      </c>
      <c r="N862" t="str">
        <f>VLOOKUP(C862,Customers!$A$2:$F$1001,4,FALSE())</f>
        <v>Consumer</v>
      </c>
    </row>
    <row r="863" spans="1:14" x14ac:dyDescent="0.25">
      <c r="A863">
        <v>862</v>
      </c>
      <c r="B863" t="s">
        <v>1864</v>
      </c>
      <c r="C863" t="s">
        <v>1572</v>
      </c>
      <c r="D863" t="s">
        <v>1816</v>
      </c>
      <c r="E863">
        <v>4</v>
      </c>
      <c r="F863">
        <v>300</v>
      </c>
      <c r="G863">
        <v>1200</v>
      </c>
      <c r="H863" s="9">
        <v>0</v>
      </c>
      <c r="I863">
        <v>237.63</v>
      </c>
      <c r="J863" s="10">
        <f t="shared" si="26"/>
        <v>5</v>
      </c>
      <c r="K863" s="11">
        <f t="shared" si="27"/>
        <v>0.19802500000000001</v>
      </c>
      <c r="L863" t="str">
        <f>VLOOKUP(C863,Customers!$A$2:$F$1001,2,FALSE())</f>
        <v>Steven Robinson</v>
      </c>
      <c r="M863" t="str">
        <f>VLOOKUP(C863,Customers!$A$2:$F$1001,3,FALSE())</f>
        <v>West</v>
      </c>
      <c r="N863" t="str">
        <f>VLOOKUP(C863,Customers!$A$2:$F$1001,4,FALSE())</f>
        <v>Corporate</v>
      </c>
    </row>
    <row r="864" spans="1:14" x14ac:dyDescent="0.25">
      <c r="A864">
        <v>863</v>
      </c>
      <c r="B864" t="s">
        <v>2076</v>
      </c>
      <c r="C864" t="s">
        <v>1573</v>
      </c>
      <c r="D864" t="s">
        <v>1816</v>
      </c>
      <c r="E864">
        <v>2</v>
      </c>
      <c r="F864">
        <v>25</v>
      </c>
      <c r="G864">
        <v>50</v>
      </c>
      <c r="H864" s="9">
        <v>0.1</v>
      </c>
      <c r="I864">
        <v>1.8</v>
      </c>
      <c r="J864" s="10">
        <f t="shared" si="26"/>
        <v>4</v>
      </c>
      <c r="K864" s="11">
        <f t="shared" si="27"/>
        <v>3.6000000000000004E-2</v>
      </c>
      <c r="L864" t="str">
        <f>VLOOKUP(C864,Customers!$A$2:$F$1001,2,FALSE())</f>
        <v>Anthony Young</v>
      </c>
      <c r="M864" t="str">
        <f>VLOOKUP(C864,Customers!$A$2:$F$1001,3,FALSE())</f>
        <v>West</v>
      </c>
      <c r="N864" t="str">
        <f>VLOOKUP(C864,Customers!$A$2:$F$1001,4,FALSE())</f>
        <v>Consumer</v>
      </c>
    </row>
    <row r="865" spans="1:14" x14ac:dyDescent="0.25">
      <c r="A865">
        <v>864</v>
      </c>
      <c r="B865" t="s">
        <v>2096</v>
      </c>
      <c r="C865" t="s">
        <v>1575</v>
      </c>
      <c r="D865" t="s">
        <v>1816</v>
      </c>
      <c r="E865">
        <v>1</v>
      </c>
      <c r="F865">
        <v>500</v>
      </c>
      <c r="G865">
        <v>500</v>
      </c>
      <c r="H865" s="9">
        <v>0.05</v>
      </c>
      <c r="I865">
        <v>5.25</v>
      </c>
      <c r="J865" s="10">
        <f t="shared" si="26"/>
        <v>7</v>
      </c>
      <c r="K865" s="11">
        <f t="shared" si="27"/>
        <v>1.0500000000000001E-2</v>
      </c>
      <c r="L865" t="str">
        <f>VLOOKUP(C865,Customers!$A$2:$F$1001,2,FALSE())</f>
        <v>Melissa Thompson</v>
      </c>
      <c r="M865" t="str">
        <f>VLOOKUP(C865,Customers!$A$2:$F$1001,3,FALSE())</f>
        <v>East</v>
      </c>
      <c r="N865" t="str">
        <f>VLOOKUP(C865,Customers!$A$2:$F$1001,4,FALSE())</f>
        <v>Consumer</v>
      </c>
    </row>
    <row r="866" spans="1:14" x14ac:dyDescent="0.25">
      <c r="A866">
        <v>865</v>
      </c>
      <c r="B866" t="s">
        <v>2147</v>
      </c>
      <c r="C866" t="s">
        <v>1576</v>
      </c>
      <c r="D866" t="s">
        <v>1814</v>
      </c>
      <c r="E866">
        <v>1</v>
      </c>
      <c r="F866">
        <v>300</v>
      </c>
      <c r="G866">
        <v>300</v>
      </c>
      <c r="H866" s="9">
        <v>0.2</v>
      </c>
      <c r="I866">
        <v>-0.06</v>
      </c>
      <c r="J866" s="10">
        <f t="shared" si="26"/>
        <v>12</v>
      </c>
      <c r="K866" s="11">
        <f t="shared" si="27"/>
        <v>-1.9999999999999998E-4</v>
      </c>
      <c r="L866" t="str">
        <f>VLOOKUP(C866,Customers!$A$2:$F$1001,2,FALSE())</f>
        <v>Daniel Jones</v>
      </c>
      <c r="M866" t="str">
        <f>VLOOKUP(C866,Customers!$A$2:$F$1001,3,FALSE())</f>
        <v>East</v>
      </c>
      <c r="N866" t="str">
        <f>VLOOKUP(C866,Customers!$A$2:$F$1001,4,FALSE())</f>
        <v>Consumer</v>
      </c>
    </row>
    <row r="867" spans="1:14" x14ac:dyDescent="0.25">
      <c r="A867">
        <v>866</v>
      </c>
      <c r="B867" t="s">
        <v>1993</v>
      </c>
      <c r="C867" t="s">
        <v>1577</v>
      </c>
      <c r="D867" t="s">
        <v>1816</v>
      </c>
      <c r="E867">
        <v>1</v>
      </c>
      <c r="F867">
        <v>50</v>
      </c>
      <c r="G867">
        <v>50</v>
      </c>
      <c r="H867" s="9">
        <v>0.05</v>
      </c>
      <c r="I867">
        <v>5.48</v>
      </c>
      <c r="J867" s="10">
        <f t="shared" si="26"/>
        <v>5</v>
      </c>
      <c r="K867" s="11">
        <f t="shared" si="27"/>
        <v>0.1096</v>
      </c>
      <c r="L867" t="str">
        <f>VLOOKUP(C867,Customers!$A$2:$F$1001,2,FALSE())</f>
        <v>Joshua Torres</v>
      </c>
      <c r="M867" t="str">
        <f>VLOOKUP(C867,Customers!$A$2:$F$1001,3,FALSE())</f>
        <v>West</v>
      </c>
      <c r="N867" t="str">
        <f>VLOOKUP(C867,Customers!$A$2:$F$1001,4,FALSE())</f>
        <v>Consumer</v>
      </c>
    </row>
    <row r="868" spans="1:14" x14ac:dyDescent="0.25">
      <c r="A868">
        <v>867</v>
      </c>
      <c r="B868" t="s">
        <v>2078</v>
      </c>
      <c r="C868" t="s">
        <v>1579</v>
      </c>
      <c r="D868" t="s">
        <v>1816</v>
      </c>
      <c r="E868">
        <v>1</v>
      </c>
      <c r="F868">
        <v>500</v>
      </c>
      <c r="G868">
        <v>500</v>
      </c>
      <c r="H868" s="9">
        <v>0.1</v>
      </c>
      <c r="I868">
        <v>11.44</v>
      </c>
      <c r="J868" s="10">
        <f t="shared" si="26"/>
        <v>6</v>
      </c>
      <c r="K868" s="11">
        <f t="shared" si="27"/>
        <v>2.2879999999999998E-2</v>
      </c>
      <c r="L868" t="str">
        <f>VLOOKUP(C868,Customers!$A$2:$F$1001,2,FALSE())</f>
        <v>Paul Wright</v>
      </c>
      <c r="M868" t="str">
        <f>VLOOKUP(C868,Customers!$A$2:$F$1001,3,FALSE())</f>
        <v>West</v>
      </c>
      <c r="N868" t="str">
        <f>VLOOKUP(C868,Customers!$A$2:$F$1001,4,FALSE())</f>
        <v>Consumer</v>
      </c>
    </row>
    <row r="869" spans="1:14" x14ac:dyDescent="0.25">
      <c r="A869">
        <v>868</v>
      </c>
      <c r="B869" t="s">
        <v>2051</v>
      </c>
      <c r="C869" t="s">
        <v>1580</v>
      </c>
      <c r="D869" t="s">
        <v>1816</v>
      </c>
      <c r="E869">
        <v>1</v>
      </c>
      <c r="F869">
        <v>300</v>
      </c>
      <c r="G869">
        <v>300</v>
      </c>
      <c r="H869" s="9">
        <v>0</v>
      </c>
      <c r="I869">
        <v>51.44</v>
      </c>
      <c r="J869" s="10">
        <f t="shared" si="26"/>
        <v>12</v>
      </c>
      <c r="K869" s="11">
        <f t="shared" si="27"/>
        <v>0.17146666666666666</v>
      </c>
      <c r="L869" t="str">
        <f>VLOOKUP(C869,Customers!$A$2:$F$1001,2,FALSE())</f>
        <v>Carol Young</v>
      </c>
      <c r="M869" t="str">
        <f>VLOOKUP(C869,Customers!$A$2:$F$1001,3,FALSE())</f>
        <v>North</v>
      </c>
      <c r="N869" t="str">
        <f>VLOOKUP(C869,Customers!$A$2:$F$1001,4,FALSE())</f>
        <v>Corporate</v>
      </c>
    </row>
    <row r="870" spans="1:14" x14ac:dyDescent="0.25">
      <c r="A870">
        <v>869</v>
      </c>
      <c r="B870" t="s">
        <v>2082</v>
      </c>
      <c r="C870" t="s">
        <v>1582</v>
      </c>
      <c r="D870" t="s">
        <v>1812</v>
      </c>
      <c r="E870">
        <v>3</v>
      </c>
      <c r="F870">
        <v>500</v>
      </c>
      <c r="G870">
        <v>1500</v>
      </c>
      <c r="H870" s="9">
        <v>0.1</v>
      </c>
      <c r="I870">
        <v>306.75</v>
      </c>
      <c r="J870" s="10">
        <f t="shared" si="26"/>
        <v>10</v>
      </c>
      <c r="K870" s="11">
        <f t="shared" si="27"/>
        <v>0.20449999999999999</v>
      </c>
      <c r="L870" t="str">
        <f>VLOOKUP(C870,Customers!$A$2:$F$1001,2,FALSE())</f>
        <v>Margaret Brown</v>
      </c>
      <c r="M870" t="str">
        <f>VLOOKUP(C870,Customers!$A$2:$F$1001,3,FALSE())</f>
        <v>East</v>
      </c>
      <c r="N870" t="str">
        <f>VLOOKUP(C870,Customers!$A$2:$F$1001,4,FALSE())</f>
        <v>Home Office</v>
      </c>
    </row>
    <row r="871" spans="1:14" x14ac:dyDescent="0.25">
      <c r="A871">
        <v>870</v>
      </c>
      <c r="B871" t="s">
        <v>2135</v>
      </c>
      <c r="C871" t="s">
        <v>1584</v>
      </c>
      <c r="D871" t="s">
        <v>1816</v>
      </c>
      <c r="E871">
        <v>4</v>
      </c>
      <c r="F871">
        <v>30</v>
      </c>
      <c r="G871">
        <v>120</v>
      </c>
      <c r="H871" s="9">
        <v>0.05</v>
      </c>
      <c r="I871">
        <v>6.1</v>
      </c>
      <c r="J871" s="10">
        <f t="shared" si="26"/>
        <v>7</v>
      </c>
      <c r="K871" s="11">
        <f t="shared" si="27"/>
        <v>5.0833333333333328E-2</v>
      </c>
      <c r="L871" t="str">
        <f>VLOOKUP(C871,Customers!$A$2:$F$1001,2,FALSE())</f>
        <v>James Rodriguez</v>
      </c>
      <c r="M871" t="str">
        <f>VLOOKUP(C871,Customers!$A$2:$F$1001,3,FALSE())</f>
        <v>West</v>
      </c>
      <c r="N871" t="str">
        <f>VLOOKUP(C871,Customers!$A$2:$F$1001,4,FALSE())</f>
        <v>Consumer</v>
      </c>
    </row>
    <row r="872" spans="1:14" x14ac:dyDescent="0.25">
      <c r="A872">
        <v>871</v>
      </c>
      <c r="B872" t="s">
        <v>1992</v>
      </c>
      <c r="C872" t="s">
        <v>1586</v>
      </c>
      <c r="D872" t="s">
        <v>1812</v>
      </c>
      <c r="E872">
        <v>2</v>
      </c>
      <c r="F872">
        <v>30</v>
      </c>
      <c r="G872">
        <v>60</v>
      </c>
      <c r="H872" s="9">
        <v>0.05</v>
      </c>
      <c r="I872">
        <v>17.27</v>
      </c>
      <c r="J872" s="10">
        <f t="shared" si="26"/>
        <v>8</v>
      </c>
      <c r="K872" s="11">
        <f t="shared" si="27"/>
        <v>0.28783333333333333</v>
      </c>
      <c r="L872" t="str">
        <f>VLOOKUP(C872,Customers!$A$2:$F$1001,2,FALSE())</f>
        <v>Nancy Robinson</v>
      </c>
      <c r="M872" t="str">
        <f>VLOOKUP(C872,Customers!$A$2:$F$1001,3,FALSE())</f>
        <v>South</v>
      </c>
      <c r="N872" t="str">
        <f>VLOOKUP(C872,Customers!$A$2:$F$1001,4,FALSE())</f>
        <v>Corporate</v>
      </c>
    </row>
    <row r="873" spans="1:14" x14ac:dyDescent="0.25">
      <c r="A873">
        <v>872</v>
      </c>
      <c r="B873" t="s">
        <v>1934</v>
      </c>
      <c r="C873" t="s">
        <v>1588</v>
      </c>
      <c r="D873" t="s">
        <v>1812</v>
      </c>
      <c r="E873">
        <v>3</v>
      </c>
      <c r="F873">
        <v>25</v>
      </c>
      <c r="G873">
        <v>75</v>
      </c>
      <c r="H873" s="9">
        <v>0</v>
      </c>
      <c r="I873">
        <v>26.32</v>
      </c>
      <c r="J873" s="10">
        <f t="shared" si="26"/>
        <v>10</v>
      </c>
      <c r="K873" s="11">
        <f t="shared" si="27"/>
        <v>0.35093333333333332</v>
      </c>
      <c r="L873" t="str">
        <f>VLOOKUP(C873,Customers!$A$2:$F$1001,2,FALSE())</f>
        <v>Daniel Smith</v>
      </c>
      <c r="M873" t="str">
        <f>VLOOKUP(C873,Customers!$A$2:$F$1001,3,FALSE())</f>
        <v>South</v>
      </c>
      <c r="N873" t="str">
        <f>VLOOKUP(C873,Customers!$A$2:$F$1001,4,FALSE())</f>
        <v>Consumer</v>
      </c>
    </row>
    <row r="874" spans="1:14" x14ac:dyDescent="0.25">
      <c r="A874">
        <v>873</v>
      </c>
      <c r="B874" t="s">
        <v>1950</v>
      </c>
      <c r="C874" t="s">
        <v>1589</v>
      </c>
      <c r="D874" t="s">
        <v>1816</v>
      </c>
      <c r="E874">
        <v>4</v>
      </c>
      <c r="F874">
        <v>25</v>
      </c>
      <c r="G874">
        <v>100</v>
      </c>
      <c r="H874" s="9">
        <v>0</v>
      </c>
      <c r="I874">
        <v>13.95</v>
      </c>
      <c r="J874" s="10">
        <f t="shared" si="26"/>
        <v>9</v>
      </c>
      <c r="K874" s="11">
        <f t="shared" si="27"/>
        <v>0.13949999999999999</v>
      </c>
      <c r="L874" t="str">
        <f>VLOOKUP(C874,Customers!$A$2:$F$1001,2,FALSE())</f>
        <v>William Flores</v>
      </c>
      <c r="M874" t="str">
        <f>VLOOKUP(C874,Customers!$A$2:$F$1001,3,FALSE())</f>
        <v>West</v>
      </c>
      <c r="N874" t="str">
        <f>VLOOKUP(C874,Customers!$A$2:$F$1001,4,FALSE())</f>
        <v>Consumer</v>
      </c>
    </row>
    <row r="875" spans="1:14" x14ac:dyDescent="0.25">
      <c r="A875">
        <v>874</v>
      </c>
      <c r="B875" t="s">
        <v>1854</v>
      </c>
      <c r="C875" t="s">
        <v>1591</v>
      </c>
      <c r="D875" t="s">
        <v>1812</v>
      </c>
      <c r="E875">
        <v>1</v>
      </c>
      <c r="F875">
        <v>30</v>
      </c>
      <c r="G875">
        <v>30</v>
      </c>
      <c r="H875" s="9">
        <v>0</v>
      </c>
      <c r="I875">
        <v>11.6</v>
      </c>
      <c r="J875" s="10">
        <f t="shared" si="26"/>
        <v>6</v>
      </c>
      <c r="K875" s="11">
        <f t="shared" si="27"/>
        <v>0.38666666666666666</v>
      </c>
      <c r="L875" t="str">
        <f>VLOOKUP(C875,Customers!$A$2:$F$1001,2,FALSE())</f>
        <v>Deborah Thomas</v>
      </c>
      <c r="M875" t="str">
        <f>VLOOKUP(C875,Customers!$A$2:$F$1001,3,FALSE())</f>
        <v>West</v>
      </c>
      <c r="N875" t="str">
        <f>VLOOKUP(C875,Customers!$A$2:$F$1001,4,FALSE())</f>
        <v>Consumer</v>
      </c>
    </row>
    <row r="876" spans="1:14" x14ac:dyDescent="0.25">
      <c r="A876">
        <v>875</v>
      </c>
      <c r="B876" t="s">
        <v>2112</v>
      </c>
      <c r="C876" t="s">
        <v>1593</v>
      </c>
      <c r="D876" t="s">
        <v>1816</v>
      </c>
      <c r="E876">
        <v>4</v>
      </c>
      <c r="F876">
        <v>500</v>
      </c>
      <c r="G876">
        <v>2000</v>
      </c>
      <c r="H876" s="9">
        <v>0.25</v>
      </c>
      <c r="I876">
        <v>-100</v>
      </c>
      <c r="J876" s="10">
        <f t="shared" si="26"/>
        <v>8</v>
      </c>
      <c r="K876" s="11">
        <f t="shared" si="27"/>
        <v>-0.05</v>
      </c>
      <c r="L876" t="str">
        <f>VLOOKUP(C876,Customers!$A$2:$F$1001,2,FALSE())</f>
        <v>Kenneth Lewis</v>
      </c>
      <c r="M876" t="str">
        <f>VLOOKUP(C876,Customers!$A$2:$F$1001,3,FALSE())</f>
        <v>West</v>
      </c>
      <c r="N876" t="str">
        <f>VLOOKUP(C876,Customers!$A$2:$F$1001,4,FALSE())</f>
        <v>Consumer</v>
      </c>
    </row>
    <row r="877" spans="1:14" x14ac:dyDescent="0.25">
      <c r="A877">
        <v>876</v>
      </c>
      <c r="B877" t="s">
        <v>1967</v>
      </c>
      <c r="C877" t="s">
        <v>1595</v>
      </c>
      <c r="D877" t="s">
        <v>1814</v>
      </c>
      <c r="E877">
        <v>4</v>
      </c>
      <c r="F877">
        <v>30</v>
      </c>
      <c r="G877">
        <v>120</v>
      </c>
      <c r="H877" s="9">
        <v>0.05</v>
      </c>
      <c r="I877">
        <v>23.93</v>
      </c>
      <c r="J877" s="10">
        <f t="shared" si="26"/>
        <v>10</v>
      </c>
      <c r="K877" s="11">
        <f t="shared" si="27"/>
        <v>0.19941666666666666</v>
      </c>
      <c r="L877" t="str">
        <f>VLOOKUP(C877,Customers!$A$2:$F$1001,2,FALSE())</f>
        <v>George Scott</v>
      </c>
      <c r="M877" t="str">
        <f>VLOOKUP(C877,Customers!$A$2:$F$1001,3,FALSE())</f>
        <v>West</v>
      </c>
      <c r="N877" t="str">
        <f>VLOOKUP(C877,Customers!$A$2:$F$1001,4,FALSE())</f>
        <v>Consumer</v>
      </c>
    </row>
    <row r="878" spans="1:14" x14ac:dyDescent="0.25">
      <c r="A878">
        <v>877</v>
      </c>
      <c r="B878" t="s">
        <v>1985</v>
      </c>
      <c r="C878" t="s">
        <v>1597</v>
      </c>
      <c r="D878" t="s">
        <v>1814</v>
      </c>
      <c r="E878">
        <v>1</v>
      </c>
      <c r="F878">
        <v>25</v>
      </c>
      <c r="G878">
        <v>25</v>
      </c>
      <c r="H878" s="9">
        <v>0</v>
      </c>
      <c r="I878">
        <v>6.3</v>
      </c>
      <c r="J878" s="10">
        <f t="shared" si="26"/>
        <v>6</v>
      </c>
      <c r="K878" s="11">
        <f t="shared" si="27"/>
        <v>0.252</v>
      </c>
      <c r="L878" t="str">
        <f>VLOOKUP(C878,Customers!$A$2:$F$1001,2,FALSE())</f>
        <v>Ashley Thomas</v>
      </c>
      <c r="M878" t="str">
        <f>VLOOKUP(C878,Customers!$A$2:$F$1001,3,FALSE())</f>
        <v>North</v>
      </c>
      <c r="N878" t="str">
        <f>VLOOKUP(C878,Customers!$A$2:$F$1001,4,FALSE())</f>
        <v>Consumer</v>
      </c>
    </row>
    <row r="879" spans="1:14" x14ac:dyDescent="0.25">
      <c r="A879">
        <v>878</v>
      </c>
      <c r="B879" t="s">
        <v>2127</v>
      </c>
      <c r="C879" t="s">
        <v>1598</v>
      </c>
      <c r="D879" t="s">
        <v>1814</v>
      </c>
      <c r="E879">
        <v>1</v>
      </c>
      <c r="F879">
        <v>30</v>
      </c>
      <c r="G879">
        <v>30</v>
      </c>
      <c r="H879" s="9">
        <v>0.2</v>
      </c>
      <c r="I879">
        <v>-1.1000000000000001</v>
      </c>
      <c r="J879" s="10">
        <f t="shared" si="26"/>
        <v>6</v>
      </c>
      <c r="K879" s="11">
        <f t="shared" si="27"/>
        <v>-3.6666666666666667E-2</v>
      </c>
      <c r="L879" t="str">
        <f>VLOOKUP(C879,Customers!$A$2:$F$1001,2,FALSE())</f>
        <v>Ashley Gonzalez</v>
      </c>
      <c r="M879" t="str">
        <f>VLOOKUP(C879,Customers!$A$2:$F$1001,3,FALSE())</f>
        <v>South</v>
      </c>
      <c r="N879" t="str">
        <f>VLOOKUP(C879,Customers!$A$2:$F$1001,4,FALSE())</f>
        <v>Consumer</v>
      </c>
    </row>
    <row r="880" spans="1:14" x14ac:dyDescent="0.25">
      <c r="A880">
        <v>879</v>
      </c>
      <c r="B880" t="s">
        <v>1838</v>
      </c>
      <c r="C880" t="s">
        <v>1599</v>
      </c>
      <c r="D880" t="s">
        <v>1814</v>
      </c>
      <c r="E880">
        <v>1</v>
      </c>
      <c r="F880">
        <v>30</v>
      </c>
      <c r="G880">
        <v>30</v>
      </c>
      <c r="H880" s="9">
        <v>0</v>
      </c>
      <c r="I880">
        <v>6.31</v>
      </c>
      <c r="J880" s="10">
        <f t="shared" si="26"/>
        <v>12</v>
      </c>
      <c r="K880" s="11">
        <f t="shared" si="27"/>
        <v>0.21033333333333332</v>
      </c>
      <c r="L880" t="str">
        <f>VLOOKUP(C880,Customers!$A$2:$F$1001,2,FALSE())</f>
        <v>Sarah Harris</v>
      </c>
      <c r="M880" t="str">
        <f>VLOOKUP(C880,Customers!$A$2:$F$1001,3,FALSE())</f>
        <v>East</v>
      </c>
      <c r="N880" t="str">
        <f>VLOOKUP(C880,Customers!$A$2:$F$1001,4,FALSE())</f>
        <v>Corporate</v>
      </c>
    </row>
    <row r="881" spans="1:14" x14ac:dyDescent="0.25">
      <c r="A881">
        <v>880</v>
      </c>
      <c r="B881" t="s">
        <v>1877</v>
      </c>
      <c r="C881" t="s">
        <v>1601</v>
      </c>
      <c r="D881" t="s">
        <v>1812</v>
      </c>
      <c r="E881">
        <v>2</v>
      </c>
      <c r="F881">
        <v>500</v>
      </c>
      <c r="G881">
        <v>1000</v>
      </c>
      <c r="H881" s="9">
        <v>0.05</v>
      </c>
      <c r="I881">
        <v>290.36</v>
      </c>
      <c r="J881" s="10">
        <f t="shared" si="26"/>
        <v>8</v>
      </c>
      <c r="K881" s="11">
        <f t="shared" si="27"/>
        <v>0.29036000000000001</v>
      </c>
      <c r="L881" t="str">
        <f>VLOOKUP(C881,Customers!$A$2:$F$1001,2,FALSE())</f>
        <v>Mark White</v>
      </c>
      <c r="M881" t="str">
        <f>VLOOKUP(C881,Customers!$A$2:$F$1001,3,FALSE())</f>
        <v>East</v>
      </c>
      <c r="N881" t="str">
        <f>VLOOKUP(C881,Customers!$A$2:$F$1001,4,FALSE())</f>
        <v>Consumer</v>
      </c>
    </row>
    <row r="882" spans="1:14" x14ac:dyDescent="0.25">
      <c r="A882">
        <v>881</v>
      </c>
      <c r="B882" t="s">
        <v>1893</v>
      </c>
      <c r="C882" t="s">
        <v>1602</v>
      </c>
      <c r="D882" t="s">
        <v>1816</v>
      </c>
      <c r="E882">
        <v>1</v>
      </c>
      <c r="F882">
        <v>300</v>
      </c>
      <c r="G882">
        <v>300</v>
      </c>
      <c r="H882" s="9">
        <v>0.1</v>
      </c>
      <c r="I882">
        <v>26.83</v>
      </c>
      <c r="J882" s="10">
        <f t="shared" si="26"/>
        <v>5</v>
      </c>
      <c r="K882" s="11">
        <f t="shared" si="27"/>
        <v>8.9433333333333323E-2</v>
      </c>
      <c r="L882" t="str">
        <f>VLOOKUP(C882,Customers!$A$2:$F$1001,2,FALSE())</f>
        <v>Karen Taylor</v>
      </c>
      <c r="M882" t="str">
        <f>VLOOKUP(C882,Customers!$A$2:$F$1001,3,FALSE())</f>
        <v>South</v>
      </c>
      <c r="N882" t="str">
        <f>VLOOKUP(C882,Customers!$A$2:$F$1001,4,FALSE())</f>
        <v>Consumer</v>
      </c>
    </row>
    <row r="883" spans="1:14" x14ac:dyDescent="0.25">
      <c r="A883">
        <v>882</v>
      </c>
      <c r="B883" t="s">
        <v>2078</v>
      </c>
      <c r="C883" t="s">
        <v>1604</v>
      </c>
      <c r="D883" t="s">
        <v>1816</v>
      </c>
      <c r="E883">
        <v>2</v>
      </c>
      <c r="F883">
        <v>25</v>
      </c>
      <c r="G883">
        <v>50</v>
      </c>
      <c r="H883" s="9">
        <v>0.2</v>
      </c>
      <c r="I883">
        <v>-2.5</v>
      </c>
      <c r="J883" s="10">
        <f t="shared" si="26"/>
        <v>6</v>
      </c>
      <c r="K883" s="11">
        <f t="shared" si="27"/>
        <v>-0.05</v>
      </c>
      <c r="L883" t="str">
        <f>VLOOKUP(C883,Customers!$A$2:$F$1001,2,FALSE())</f>
        <v>James Harris</v>
      </c>
      <c r="M883" t="str">
        <f>VLOOKUP(C883,Customers!$A$2:$F$1001,3,FALSE())</f>
        <v>East</v>
      </c>
      <c r="N883" t="str">
        <f>VLOOKUP(C883,Customers!$A$2:$F$1001,4,FALSE())</f>
        <v>Consumer</v>
      </c>
    </row>
    <row r="884" spans="1:14" x14ac:dyDescent="0.25">
      <c r="A884">
        <v>883</v>
      </c>
      <c r="B884" t="s">
        <v>1933</v>
      </c>
      <c r="C884" t="s">
        <v>1606</v>
      </c>
      <c r="D884" t="s">
        <v>1816</v>
      </c>
      <c r="E884">
        <v>1</v>
      </c>
      <c r="F884">
        <v>500</v>
      </c>
      <c r="G884">
        <v>500</v>
      </c>
      <c r="H884" s="9">
        <v>0.1</v>
      </c>
      <c r="I884">
        <v>-10.88</v>
      </c>
      <c r="J884" s="10">
        <f t="shared" si="26"/>
        <v>5</v>
      </c>
      <c r="K884" s="11">
        <f t="shared" si="27"/>
        <v>-2.1760000000000002E-2</v>
      </c>
      <c r="L884" t="str">
        <f>VLOOKUP(C884,Customers!$A$2:$F$1001,2,FALSE())</f>
        <v>Mark Nguyen</v>
      </c>
      <c r="M884" t="str">
        <f>VLOOKUP(C884,Customers!$A$2:$F$1001,3,FALSE())</f>
        <v>South</v>
      </c>
      <c r="N884" t="str">
        <f>VLOOKUP(C884,Customers!$A$2:$F$1001,4,FALSE())</f>
        <v>Corporate</v>
      </c>
    </row>
    <row r="885" spans="1:14" x14ac:dyDescent="0.25">
      <c r="A885">
        <v>884</v>
      </c>
      <c r="B885" t="s">
        <v>2124</v>
      </c>
      <c r="C885" t="s">
        <v>1607</v>
      </c>
      <c r="D885" t="s">
        <v>1814</v>
      </c>
      <c r="E885">
        <v>2</v>
      </c>
      <c r="F885">
        <v>30</v>
      </c>
      <c r="G885">
        <v>60</v>
      </c>
      <c r="H885" s="9">
        <v>0.05</v>
      </c>
      <c r="I885">
        <v>5.8</v>
      </c>
      <c r="J885" s="10">
        <f t="shared" si="26"/>
        <v>4</v>
      </c>
      <c r="K885" s="11">
        <f t="shared" si="27"/>
        <v>9.6666666666666665E-2</v>
      </c>
      <c r="L885" t="str">
        <f>VLOOKUP(C885,Customers!$A$2:$F$1001,2,FALSE())</f>
        <v>Margaret Jackson</v>
      </c>
      <c r="M885" t="str">
        <f>VLOOKUP(C885,Customers!$A$2:$F$1001,3,FALSE())</f>
        <v>East</v>
      </c>
      <c r="N885" t="str">
        <f>VLOOKUP(C885,Customers!$A$2:$F$1001,4,FALSE())</f>
        <v>Consumer</v>
      </c>
    </row>
    <row r="886" spans="1:14" x14ac:dyDescent="0.25">
      <c r="A886">
        <v>885</v>
      </c>
      <c r="B886" t="s">
        <v>1977</v>
      </c>
      <c r="C886" t="s">
        <v>1609</v>
      </c>
      <c r="D886" t="s">
        <v>1814</v>
      </c>
      <c r="E886">
        <v>4</v>
      </c>
      <c r="F886">
        <v>30</v>
      </c>
      <c r="G886">
        <v>120</v>
      </c>
      <c r="H886" s="9">
        <v>0.25</v>
      </c>
      <c r="I886">
        <v>-3.36</v>
      </c>
      <c r="J886" s="10">
        <f t="shared" si="26"/>
        <v>3</v>
      </c>
      <c r="K886" s="11">
        <f t="shared" si="27"/>
        <v>-2.8000000000000001E-2</v>
      </c>
      <c r="L886" t="str">
        <f>VLOOKUP(C886,Customers!$A$2:$F$1001,2,FALSE())</f>
        <v>Patricia Davis</v>
      </c>
      <c r="M886" t="str">
        <f>VLOOKUP(C886,Customers!$A$2:$F$1001,3,FALSE())</f>
        <v>South</v>
      </c>
      <c r="N886" t="str">
        <f>VLOOKUP(C886,Customers!$A$2:$F$1001,4,FALSE())</f>
        <v>Corporate</v>
      </c>
    </row>
    <row r="887" spans="1:14" x14ac:dyDescent="0.25">
      <c r="A887">
        <v>886</v>
      </c>
      <c r="B887" t="s">
        <v>1869</v>
      </c>
      <c r="C887" t="s">
        <v>1611</v>
      </c>
      <c r="D887" t="s">
        <v>1816</v>
      </c>
      <c r="E887">
        <v>3</v>
      </c>
      <c r="F887">
        <v>300</v>
      </c>
      <c r="G887">
        <v>900</v>
      </c>
      <c r="H887" s="9">
        <v>0</v>
      </c>
      <c r="I887">
        <v>132.4</v>
      </c>
      <c r="J887" s="10">
        <f t="shared" si="26"/>
        <v>4</v>
      </c>
      <c r="K887" s="11">
        <f t="shared" si="27"/>
        <v>0.14711111111111111</v>
      </c>
      <c r="L887" t="str">
        <f>VLOOKUP(C887,Customers!$A$2:$F$1001,2,FALSE())</f>
        <v>Thomas Thomas</v>
      </c>
      <c r="M887" t="str">
        <f>VLOOKUP(C887,Customers!$A$2:$F$1001,3,FALSE())</f>
        <v>South</v>
      </c>
      <c r="N887" t="str">
        <f>VLOOKUP(C887,Customers!$A$2:$F$1001,4,FALSE())</f>
        <v>Consumer</v>
      </c>
    </row>
    <row r="888" spans="1:14" x14ac:dyDescent="0.25">
      <c r="A888">
        <v>887</v>
      </c>
      <c r="B888" t="s">
        <v>1900</v>
      </c>
      <c r="C888" t="s">
        <v>1613</v>
      </c>
      <c r="D888" t="s">
        <v>1814</v>
      </c>
      <c r="E888">
        <v>4</v>
      </c>
      <c r="F888">
        <v>25</v>
      </c>
      <c r="G888">
        <v>100</v>
      </c>
      <c r="H888" s="9">
        <v>0.25</v>
      </c>
      <c r="I888">
        <v>-1.58</v>
      </c>
      <c r="J888" s="10">
        <f t="shared" si="26"/>
        <v>6</v>
      </c>
      <c r="K888" s="11">
        <f t="shared" si="27"/>
        <v>-1.5800000000000002E-2</v>
      </c>
      <c r="L888" t="str">
        <f>VLOOKUP(C888,Customers!$A$2:$F$1001,2,FALSE())</f>
        <v>Charles Thomas</v>
      </c>
      <c r="M888" t="str">
        <f>VLOOKUP(C888,Customers!$A$2:$F$1001,3,FALSE())</f>
        <v>North</v>
      </c>
      <c r="N888" t="str">
        <f>VLOOKUP(C888,Customers!$A$2:$F$1001,4,FALSE())</f>
        <v>Consumer</v>
      </c>
    </row>
    <row r="889" spans="1:14" x14ac:dyDescent="0.25">
      <c r="A889">
        <v>888</v>
      </c>
      <c r="B889" t="s">
        <v>1977</v>
      </c>
      <c r="C889" t="s">
        <v>1615</v>
      </c>
      <c r="D889" t="s">
        <v>1816</v>
      </c>
      <c r="E889">
        <v>4</v>
      </c>
      <c r="F889">
        <v>25</v>
      </c>
      <c r="G889">
        <v>100</v>
      </c>
      <c r="H889" s="9">
        <v>0.15</v>
      </c>
      <c r="I889">
        <v>-5</v>
      </c>
      <c r="J889" s="10">
        <f t="shared" si="26"/>
        <v>3</v>
      </c>
      <c r="K889" s="11">
        <f t="shared" si="27"/>
        <v>-0.05</v>
      </c>
      <c r="L889" t="str">
        <f>VLOOKUP(C889,Customers!$A$2:$F$1001,2,FALSE())</f>
        <v>Joshua Garcia</v>
      </c>
      <c r="M889" t="str">
        <f>VLOOKUP(C889,Customers!$A$2:$F$1001,3,FALSE())</f>
        <v>North</v>
      </c>
      <c r="N889" t="str">
        <f>VLOOKUP(C889,Customers!$A$2:$F$1001,4,FALSE())</f>
        <v>Home Office</v>
      </c>
    </row>
    <row r="890" spans="1:14" x14ac:dyDescent="0.25">
      <c r="A890">
        <v>889</v>
      </c>
      <c r="B890" t="s">
        <v>1859</v>
      </c>
      <c r="C890" t="s">
        <v>1616</v>
      </c>
      <c r="D890" t="s">
        <v>1816</v>
      </c>
      <c r="E890">
        <v>1</v>
      </c>
      <c r="F890">
        <v>50</v>
      </c>
      <c r="G890">
        <v>50</v>
      </c>
      <c r="H890" s="9">
        <v>0.2</v>
      </c>
      <c r="I890">
        <v>-2.5</v>
      </c>
      <c r="J890" s="10">
        <f t="shared" si="26"/>
        <v>10</v>
      </c>
      <c r="K890" s="11">
        <f t="shared" si="27"/>
        <v>-0.05</v>
      </c>
      <c r="L890" t="str">
        <f>VLOOKUP(C890,Customers!$A$2:$F$1001,2,FALSE())</f>
        <v>Thomas Miller</v>
      </c>
      <c r="M890" t="str">
        <f>VLOOKUP(C890,Customers!$A$2:$F$1001,3,FALSE())</f>
        <v>West</v>
      </c>
      <c r="N890" t="str">
        <f>VLOOKUP(C890,Customers!$A$2:$F$1001,4,FALSE())</f>
        <v>Consumer</v>
      </c>
    </row>
    <row r="891" spans="1:14" x14ac:dyDescent="0.25">
      <c r="A891">
        <v>890</v>
      </c>
      <c r="B891" t="s">
        <v>1970</v>
      </c>
      <c r="C891" t="s">
        <v>1617</v>
      </c>
      <c r="D891" t="s">
        <v>1816</v>
      </c>
      <c r="E891">
        <v>2</v>
      </c>
      <c r="F891">
        <v>25</v>
      </c>
      <c r="G891">
        <v>50</v>
      </c>
      <c r="H891" s="9">
        <v>0</v>
      </c>
      <c r="I891">
        <v>8.77</v>
      </c>
      <c r="J891" s="10">
        <f t="shared" si="26"/>
        <v>12</v>
      </c>
      <c r="K891" s="11">
        <f t="shared" si="27"/>
        <v>0.1754</v>
      </c>
      <c r="L891" t="str">
        <f>VLOOKUP(C891,Customers!$A$2:$F$1001,2,FALSE())</f>
        <v>Jessica Ramirez</v>
      </c>
      <c r="M891" t="str">
        <f>VLOOKUP(C891,Customers!$A$2:$F$1001,3,FALSE())</f>
        <v>South</v>
      </c>
      <c r="N891" t="str">
        <f>VLOOKUP(C891,Customers!$A$2:$F$1001,4,FALSE())</f>
        <v>Consumer</v>
      </c>
    </row>
    <row r="892" spans="1:14" x14ac:dyDescent="0.25">
      <c r="A892">
        <v>891</v>
      </c>
      <c r="B892" t="s">
        <v>2148</v>
      </c>
      <c r="C892" t="s">
        <v>1619</v>
      </c>
      <c r="D892" t="s">
        <v>1816</v>
      </c>
      <c r="E892">
        <v>3</v>
      </c>
      <c r="F892">
        <v>300</v>
      </c>
      <c r="G892">
        <v>900</v>
      </c>
      <c r="H892" s="9">
        <v>0</v>
      </c>
      <c r="I892">
        <v>122.92</v>
      </c>
      <c r="J892" s="10">
        <f t="shared" si="26"/>
        <v>4</v>
      </c>
      <c r="K892" s="11">
        <f t="shared" si="27"/>
        <v>0.13657777777777777</v>
      </c>
      <c r="L892" t="str">
        <f>VLOOKUP(C892,Customers!$A$2:$F$1001,2,FALSE())</f>
        <v>Robert Wilson</v>
      </c>
      <c r="M892" t="str">
        <f>VLOOKUP(C892,Customers!$A$2:$F$1001,3,FALSE())</f>
        <v>North</v>
      </c>
      <c r="N892" t="str">
        <f>VLOOKUP(C892,Customers!$A$2:$F$1001,4,FALSE())</f>
        <v>Consumer</v>
      </c>
    </row>
    <row r="893" spans="1:14" x14ac:dyDescent="0.25">
      <c r="A893">
        <v>892</v>
      </c>
      <c r="B893" t="s">
        <v>1869</v>
      </c>
      <c r="C893" t="s">
        <v>1621</v>
      </c>
      <c r="D893" t="s">
        <v>1816</v>
      </c>
      <c r="E893">
        <v>1</v>
      </c>
      <c r="F893">
        <v>50</v>
      </c>
      <c r="G893">
        <v>50</v>
      </c>
      <c r="H893" s="9">
        <v>0.1</v>
      </c>
      <c r="I893">
        <v>0.86</v>
      </c>
      <c r="J893" s="10">
        <f t="shared" si="26"/>
        <v>4</v>
      </c>
      <c r="K893" s="11">
        <f t="shared" si="27"/>
        <v>1.72E-2</v>
      </c>
      <c r="L893" t="str">
        <f>VLOOKUP(C893,Customers!$A$2:$F$1001,2,FALSE())</f>
        <v>Mary Hill</v>
      </c>
      <c r="M893" t="str">
        <f>VLOOKUP(C893,Customers!$A$2:$F$1001,3,FALSE())</f>
        <v>East</v>
      </c>
      <c r="N893" t="str">
        <f>VLOOKUP(C893,Customers!$A$2:$F$1001,4,FALSE())</f>
        <v>Home Office</v>
      </c>
    </row>
    <row r="894" spans="1:14" x14ac:dyDescent="0.25">
      <c r="A894">
        <v>893</v>
      </c>
      <c r="B894" t="s">
        <v>1849</v>
      </c>
      <c r="C894" t="s">
        <v>1623</v>
      </c>
      <c r="D894" t="s">
        <v>1816</v>
      </c>
      <c r="E894">
        <v>1</v>
      </c>
      <c r="F894">
        <v>50</v>
      </c>
      <c r="G894">
        <v>50</v>
      </c>
      <c r="H894" s="9">
        <v>0.05</v>
      </c>
      <c r="I894">
        <v>4.54</v>
      </c>
      <c r="J894" s="10">
        <f t="shared" si="26"/>
        <v>4</v>
      </c>
      <c r="K894" s="11">
        <f t="shared" si="27"/>
        <v>9.0800000000000006E-2</v>
      </c>
      <c r="L894" t="str">
        <f>VLOOKUP(C894,Customers!$A$2:$F$1001,2,FALSE())</f>
        <v>Andrew Martinez</v>
      </c>
      <c r="M894" t="str">
        <f>VLOOKUP(C894,Customers!$A$2:$F$1001,3,FALSE())</f>
        <v>East</v>
      </c>
      <c r="N894" t="str">
        <f>VLOOKUP(C894,Customers!$A$2:$F$1001,4,FALSE())</f>
        <v>Corporate</v>
      </c>
    </row>
    <row r="895" spans="1:14" x14ac:dyDescent="0.25">
      <c r="A895">
        <v>894</v>
      </c>
      <c r="B895" t="s">
        <v>2142</v>
      </c>
      <c r="C895" t="s">
        <v>1625</v>
      </c>
      <c r="D895" t="s">
        <v>1816</v>
      </c>
      <c r="E895">
        <v>1</v>
      </c>
      <c r="F895">
        <v>30</v>
      </c>
      <c r="G895">
        <v>30</v>
      </c>
      <c r="H895" s="9">
        <v>0.05</v>
      </c>
      <c r="I895">
        <v>3.19</v>
      </c>
      <c r="J895" s="10">
        <f t="shared" si="26"/>
        <v>9</v>
      </c>
      <c r="K895" s="11">
        <f t="shared" si="27"/>
        <v>0.10633333333333334</v>
      </c>
      <c r="L895" t="str">
        <f>VLOOKUP(C895,Customers!$A$2:$F$1001,2,FALSE())</f>
        <v>Elizabeth Brown</v>
      </c>
      <c r="M895" t="str">
        <f>VLOOKUP(C895,Customers!$A$2:$F$1001,3,FALSE())</f>
        <v>North</v>
      </c>
      <c r="N895" t="str">
        <f>VLOOKUP(C895,Customers!$A$2:$F$1001,4,FALSE())</f>
        <v>Corporate</v>
      </c>
    </row>
    <row r="896" spans="1:14" x14ac:dyDescent="0.25">
      <c r="A896">
        <v>895</v>
      </c>
      <c r="B896" t="s">
        <v>2061</v>
      </c>
      <c r="C896" t="s">
        <v>1627</v>
      </c>
      <c r="D896" t="s">
        <v>1814</v>
      </c>
      <c r="E896">
        <v>4</v>
      </c>
      <c r="F896">
        <v>30</v>
      </c>
      <c r="G896">
        <v>120</v>
      </c>
      <c r="H896" s="9">
        <v>0.2</v>
      </c>
      <c r="I896">
        <v>1.1499999999999999</v>
      </c>
      <c r="J896" s="10">
        <f t="shared" si="26"/>
        <v>5</v>
      </c>
      <c r="K896" s="11">
        <f t="shared" si="27"/>
        <v>9.5833333333333326E-3</v>
      </c>
      <c r="L896" t="str">
        <f>VLOOKUP(C896,Customers!$A$2:$F$1001,2,FALSE())</f>
        <v>Lisa Walker</v>
      </c>
      <c r="M896" t="str">
        <f>VLOOKUP(C896,Customers!$A$2:$F$1001,3,FALSE())</f>
        <v>South</v>
      </c>
      <c r="N896" t="str">
        <f>VLOOKUP(C896,Customers!$A$2:$F$1001,4,FALSE())</f>
        <v>Home Office</v>
      </c>
    </row>
    <row r="897" spans="1:14" x14ac:dyDescent="0.25">
      <c r="A897">
        <v>896</v>
      </c>
      <c r="B897" t="s">
        <v>1842</v>
      </c>
      <c r="C897" t="s">
        <v>1629</v>
      </c>
      <c r="D897" t="s">
        <v>1816</v>
      </c>
      <c r="E897">
        <v>2</v>
      </c>
      <c r="F897">
        <v>25</v>
      </c>
      <c r="G897">
        <v>50</v>
      </c>
      <c r="H897" s="9">
        <v>0.1</v>
      </c>
      <c r="I897">
        <v>2.96</v>
      </c>
      <c r="J897" s="10">
        <f t="shared" si="26"/>
        <v>10</v>
      </c>
      <c r="K897" s="11">
        <f t="shared" si="27"/>
        <v>5.9200000000000003E-2</v>
      </c>
      <c r="L897" t="str">
        <f>VLOOKUP(C897,Customers!$A$2:$F$1001,2,FALSE())</f>
        <v>Sandra Scott</v>
      </c>
      <c r="M897" t="str">
        <f>VLOOKUP(C897,Customers!$A$2:$F$1001,3,FALSE())</f>
        <v>North</v>
      </c>
      <c r="N897" t="str">
        <f>VLOOKUP(C897,Customers!$A$2:$F$1001,4,FALSE())</f>
        <v>Consumer</v>
      </c>
    </row>
    <row r="898" spans="1:14" x14ac:dyDescent="0.25">
      <c r="A898">
        <v>897</v>
      </c>
      <c r="B898" t="s">
        <v>2149</v>
      </c>
      <c r="C898" t="s">
        <v>1631</v>
      </c>
      <c r="D898" t="s">
        <v>1816</v>
      </c>
      <c r="E898">
        <v>2</v>
      </c>
      <c r="F898">
        <v>50</v>
      </c>
      <c r="G898">
        <v>100</v>
      </c>
      <c r="H898" s="9">
        <v>0.05</v>
      </c>
      <c r="I898">
        <v>7.61</v>
      </c>
      <c r="J898" s="10">
        <f t="shared" ref="J898:J961" si="28">MONTH(B898)</f>
        <v>9</v>
      </c>
      <c r="K898" s="11">
        <f t="shared" ref="K898:K961" si="29">IF(G898=0,0,I898/G898)</f>
        <v>7.6100000000000001E-2</v>
      </c>
      <c r="L898" t="str">
        <f>VLOOKUP(C898,Customers!$A$2:$F$1001,2,FALSE())</f>
        <v>Sarah Lopez</v>
      </c>
      <c r="M898" t="str">
        <f>VLOOKUP(C898,Customers!$A$2:$F$1001,3,FALSE())</f>
        <v>East</v>
      </c>
      <c r="N898" t="str">
        <f>VLOOKUP(C898,Customers!$A$2:$F$1001,4,FALSE())</f>
        <v>Home Office</v>
      </c>
    </row>
    <row r="899" spans="1:14" x14ac:dyDescent="0.25">
      <c r="A899">
        <v>898</v>
      </c>
      <c r="B899" t="s">
        <v>1927</v>
      </c>
      <c r="C899" t="s">
        <v>1633</v>
      </c>
      <c r="D899" t="s">
        <v>1814</v>
      </c>
      <c r="E899">
        <v>3</v>
      </c>
      <c r="F899">
        <v>30</v>
      </c>
      <c r="G899">
        <v>90</v>
      </c>
      <c r="H899" s="9">
        <v>0.05</v>
      </c>
      <c r="I899">
        <v>13.51</v>
      </c>
      <c r="J899" s="10">
        <f t="shared" si="28"/>
        <v>11</v>
      </c>
      <c r="K899" s="11">
        <f t="shared" si="29"/>
        <v>0.15011111111111111</v>
      </c>
      <c r="L899" t="str">
        <f>VLOOKUP(C899,Customers!$A$2:$F$1001,2,FALSE())</f>
        <v>Lisa Rodriguez</v>
      </c>
      <c r="M899" t="str">
        <f>VLOOKUP(C899,Customers!$A$2:$F$1001,3,FALSE())</f>
        <v>North</v>
      </c>
      <c r="N899" t="str">
        <f>VLOOKUP(C899,Customers!$A$2:$F$1001,4,FALSE())</f>
        <v>Consumer</v>
      </c>
    </row>
    <row r="900" spans="1:14" x14ac:dyDescent="0.25">
      <c r="A900">
        <v>899</v>
      </c>
      <c r="B900" t="s">
        <v>2056</v>
      </c>
      <c r="C900" t="s">
        <v>1635</v>
      </c>
      <c r="D900" t="s">
        <v>1814</v>
      </c>
      <c r="E900">
        <v>2</v>
      </c>
      <c r="F900">
        <v>300</v>
      </c>
      <c r="G900">
        <v>600</v>
      </c>
      <c r="H900" s="9">
        <v>0</v>
      </c>
      <c r="I900">
        <v>185.59</v>
      </c>
      <c r="J900" s="10">
        <f t="shared" si="28"/>
        <v>5</v>
      </c>
      <c r="K900" s="11">
        <f t="shared" si="29"/>
        <v>0.30931666666666668</v>
      </c>
      <c r="L900" t="str">
        <f>VLOOKUP(C900,Customers!$A$2:$F$1001,2,FALSE())</f>
        <v>Edward Davis</v>
      </c>
      <c r="M900" t="str">
        <f>VLOOKUP(C900,Customers!$A$2:$F$1001,3,FALSE())</f>
        <v>North</v>
      </c>
      <c r="N900" t="str">
        <f>VLOOKUP(C900,Customers!$A$2:$F$1001,4,FALSE())</f>
        <v>Corporate</v>
      </c>
    </row>
    <row r="901" spans="1:14" x14ac:dyDescent="0.25">
      <c r="A901">
        <v>900</v>
      </c>
      <c r="B901" t="s">
        <v>1876</v>
      </c>
      <c r="C901" t="s">
        <v>1637</v>
      </c>
      <c r="D901" t="s">
        <v>1814</v>
      </c>
      <c r="E901">
        <v>2</v>
      </c>
      <c r="F901">
        <v>30</v>
      </c>
      <c r="G901">
        <v>60</v>
      </c>
      <c r="H901" s="9">
        <v>0</v>
      </c>
      <c r="I901">
        <v>13.91</v>
      </c>
      <c r="J901" s="10">
        <f t="shared" si="28"/>
        <v>2</v>
      </c>
      <c r="K901" s="11">
        <f t="shared" si="29"/>
        <v>0.23183333333333334</v>
      </c>
      <c r="L901" t="str">
        <f>VLOOKUP(C901,Customers!$A$2:$F$1001,2,FALSE())</f>
        <v>Lisa Lee</v>
      </c>
      <c r="M901" t="str">
        <f>VLOOKUP(C901,Customers!$A$2:$F$1001,3,FALSE())</f>
        <v>North</v>
      </c>
      <c r="N901" t="str">
        <f>VLOOKUP(C901,Customers!$A$2:$F$1001,4,FALSE())</f>
        <v>Consumer</v>
      </c>
    </row>
    <row r="902" spans="1:14" x14ac:dyDescent="0.25">
      <c r="A902">
        <v>901</v>
      </c>
      <c r="B902" t="s">
        <v>2108</v>
      </c>
      <c r="C902" t="s">
        <v>1638</v>
      </c>
      <c r="D902" t="s">
        <v>1816</v>
      </c>
      <c r="E902">
        <v>1</v>
      </c>
      <c r="F902">
        <v>30</v>
      </c>
      <c r="G902">
        <v>30</v>
      </c>
      <c r="H902" s="9">
        <v>0</v>
      </c>
      <c r="I902">
        <v>3.99</v>
      </c>
      <c r="J902" s="10">
        <f t="shared" si="28"/>
        <v>4</v>
      </c>
      <c r="K902" s="11">
        <f t="shared" si="29"/>
        <v>0.13300000000000001</v>
      </c>
      <c r="L902" t="str">
        <f>VLOOKUP(C902,Customers!$A$2:$F$1001,2,FALSE())</f>
        <v>Robert Jackson</v>
      </c>
      <c r="M902" t="str">
        <f>VLOOKUP(C902,Customers!$A$2:$F$1001,3,FALSE())</f>
        <v>East</v>
      </c>
      <c r="N902" t="str">
        <f>VLOOKUP(C902,Customers!$A$2:$F$1001,4,FALSE())</f>
        <v>Consumer</v>
      </c>
    </row>
    <row r="903" spans="1:14" x14ac:dyDescent="0.25">
      <c r="A903">
        <v>902</v>
      </c>
      <c r="B903" t="s">
        <v>2021</v>
      </c>
      <c r="C903" t="s">
        <v>1640</v>
      </c>
      <c r="D903" t="s">
        <v>1812</v>
      </c>
      <c r="E903">
        <v>1</v>
      </c>
      <c r="F903">
        <v>50</v>
      </c>
      <c r="G903">
        <v>50</v>
      </c>
      <c r="H903" s="9">
        <v>0.15</v>
      </c>
      <c r="I903">
        <v>8.4</v>
      </c>
      <c r="J903" s="10">
        <f t="shared" si="28"/>
        <v>6</v>
      </c>
      <c r="K903" s="11">
        <f t="shared" si="29"/>
        <v>0.16800000000000001</v>
      </c>
      <c r="L903" t="str">
        <f>VLOOKUP(C903,Customers!$A$2:$F$1001,2,FALSE())</f>
        <v>Daniel Hernandez</v>
      </c>
      <c r="M903" t="str">
        <f>VLOOKUP(C903,Customers!$A$2:$F$1001,3,FALSE())</f>
        <v>North</v>
      </c>
      <c r="N903" t="str">
        <f>VLOOKUP(C903,Customers!$A$2:$F$1001,4,FALSE())</f>
        <v>Home Office</v>
      </c>
    </row>
    <row r="904" spans="1:14" x14ac:dyDescent="0.25">
      <c r="A904">
        <v>903</v>
      </c>
      <c r="B904" t="s">
        <v>1874</v>
      </c>
      <c r="C904" t="s">
        <v>1641</v>
      </c>
      <c r="D904" t="s">
        <v>1812</v>
      </c>
      <c r="E904">
        <v>4</v>
      </c>
      <c r="F904">
        <v>50</v>
      </c>
      <c r="G904">
        <v>200</v>
      </c>
      <c r="H904" s="9">
        <v>0.1</v>
      </c>
      <c r="I904">
        <v>46.4</v>
      </c>
      <c r="J904" s="10">
        <f t="shared" si="28"/>
        <v>4</v>
      </c>
      <c r="K904" s="11">
        <f t="shared" si="29"/>
        <v>0.23199999999999998</v>
      </c>
      <c r="L904" t="str">
        <f>VLOOKUP(C904,Customers!$A$2:$F$1001,2,FALSE())</f>
        <v>Michael Johnson</v>
      </c>
      <c r="M904" t="str">
        <f>VLOOKUP(C904,Customers!$A$2:$F$1001,3,FALSE())</f>
        <v>West</v>
      </c>
      <c r="N904" t="str">
        <f>VLOOKUP(C904,Customers!$A$2:$F$1001,4,FALSE())</f>
        <v>Consumer</v>
      </c>
    </row>
    <row r="905" spans="1:14" x14ac:dyDescent="0.25">
      <c r="A905">
        <v>904</v>
      </c>
      <c r="B905" t="s">
        <v>2150</v>
      </c>
      <c r="C905" t="s">
        <v>1642</v>
      </c>
      <c r="D905" t="s">
        <v>1814</v>
      </c>
      <c r="E905">
        <v>1</v>
      </c>
      <c r="F905">
        <v>500</v>
      </c>
      <c r="G905">
        <v>500</v>
      </c>
      <c r="H905" s="9">
        <v>0.05</v>
      </c>
      <c r="I905">
        <v>89.2</v>
      </c>
      <c r="J905" s="10">
        <f t="shared" si="28"/>
        <v>7</v>
      </c>
      <c r="K905" s="11">
        <f t="shared" si="29"/>
        <v>0.1784</v>
      </c>
      <c r="L905" t="str">
        <f>VLOOKUP(C905,Customers!$A$2:$F$1001,2,FALSE())</f>
        <v>James Martin</v>
      </c>
      <c r="M905" t="str">
        <f>VLOOKUP(C905,Customers!$A$2:$F$1001,3,FALSE())</f>
        <v>North</v>
      </c>
      <c r="N905" t="str">
        <f>VLOOKUP(C905,Customers!$A$2:$F$1001,4,FALSE())</f>
        <v>Home Office</v>
      </c>
    </row>
    <row r="906" spans="1:14" x14ac:dyDescent="0.25">
      <c r="A906">
        <v>905</v>
      </c>
      <c r="B906" t="s">
        <v>1942</v>
      </c>
      <c r="C906" t="s">
        <v>1644</v>
      </c>
      <c r="D906" t="s">
        <v>1812</v>
      </c>
      <c r="E906">
        <v>1</v>
      </c>
      <c r="F906">
        <v>300</v>
      </c>
      <c r="G906">
        <v>300</v>
      </c>
      <c r="H906" s="9">
        <v>0.05</v>
      </c>
      <c r="I906">
        <v>86.84</v>
      </c>
      <c r="J906" s="10">
        <f t="shared" si="28"/>
        <v>4</v>
      </c>
      <c r="K906" s="11">
        <f t="shared" si="29"/>
        <v>0.28946666666666671</v>
      </c>
      <c r="L906" t="str">
        <f>VLOOKUP(C906,Customers!$A$2:$F$1001,2,FALSE())</f>
        <v>John Hill</v>
      </c>
      <c r="M906" t="str">
        <f>VLOOKUP(C906,Customers!$A$2:$F$1001,3,FALSE())</f>
        <v>East</v>
      </c>
      <c r="N906" t="str">
        <f>VLOOKUP(C906,Customers!$A$2:$F$1001,4,FALSE())</f>
        <v>Consumer</v>
      </c>
    </row>
    <row r="907" spans="1:14" x14ac:dyDescent="0.25">
      <c r="A907">
        <v>906</v>
      </c>
      <c r="B907" t="s">
        <v>2048</v>
      </c>
      <c r="C907" t="s">
        <v>1646</v>
      </c>
      <c r="D907" t="s">
        <v>1814</v>
      </c>
      <c r="E907">
        <v>1</v>
      </c>
      <c r="F907">
        <v>50</v>
      </c>
      <c r="G907">
        <v>50</v>
      </c>
      <c r="H907" s="9">
        <v>0.1</v>
      </c>
      <c r="I907">
        <v>6.44</v>
      </c>
      <c r="J907" s="10">
        <f t="shared" si="28"/>
        <v>6</v>
      </c>
      <c r="K907" s="11">
        <f t="shared" si="29"/>
        <v>0.1288</v>
      </c>
      <c r="L907" t="str">
        <f>VLOOKUP(C907,Customers!$A$2:$F$1001,2,FALSE())</f>
        <v>Richard Clark</v>
      </c>
      <c r="M907" t="str">
        <f>VLOOKUP(C907,Customers!$A$2:$F$1001,3,FALSE())</f>
        <v>South</v>
      </c>
      <c r="N907" t="str">
        <f>VLOOKUP(C907,Customers!$A$2:$F$1001,4,FALSE())</f>
        <v>Corporate</v>
      </c>
    </row>
    <row r="908" spans="1:14" x14ac:dyDescent="0.25">
      <c r="A908">
        <v>907</v>
      </c>
      <c r="B908" t="s">
        <v>2013</v>
      </c>
      <c r="C908" t="s">
        <v>1647</v>
      </c>
      <c r="D908" t="s">
        <v>1816</v>
      </c>
      <c r="E908">
        <v>1</v>
      </c>
      <c r="F908">
        <v>25</v>
      </c>
      <c r="G908">
        <v>25</v>
      </c>
      <c r="H908" s="9">
        <v>0.15</v>
      </c>
      <c r="I908">
        <v>-0.62</v>
      </c>
      <c r="J908" s="10">
        <f t="shared" si="28"/>
        <v>1</v>
      </c>
      <c r="K908" s="11">
        <f t="shared" si="29"/>
        <v>-2.4799999999999999E-2</v>
      </c>
      <c r="L908" t="str">
        <f>VLOOKUP(C908,Customers!$A$2:$F$1001,2,FALSE())</f>
        <v>Kimberly Martin</v>
      </c>
      <c r="M908" t="str">
        <f>VLOOKUP(C908,Customers!$A$2:$F$1001,3,FALSE())</f>
        <v>South</v>
      </c>
      <c r="N908" t="str">
        <f>VLOOKUP(C908,Customers!$A$2:$F$1001,4,FALSE())</f>
        <v>Home Office</v>
      </c>
    </row>
    <row r="909" spans="1:14" x14ac:dyDescent="0.25">
      <c r="A909">
        <v>908</v>
      </c>
      <c r="B909" t="s">
        <v>1981</v>
      </c>
      <c r="C909" t="s">
        <v>1648</v>
      </c>
      <c r="D909" t="s">
        <v>1812</v>
      </c>
      <c r="E909">
        <v>4</v>
      </c>
      <c r="F909">
        <v>300</v>
      </c>
      <c r="G909">
        <v>1200</v>
      </c>
      <c r="H909" s="9">
        <v>0.2</v>
      </c>
      <c r="I909">
        <v>47.13</v>
      </c>
      <c r="J909" s="10">
        <f t="shared" si="28"/>
        <v>12</v>
      </c>
      <c r="K909" s="11">
        <f t="shared" si="29"/>
        <v>3.9275000000000004E-2</v>
      </c>
      <c r="L909" t="str">
        <f>VLOOKUP(C909,Customers!$A$2:$F$1001,2,FALSE())</f>
        <v>Brian Jones</v>
      </c>
      <c r="M909" t="str">
        <f>VLOOKUP(C909,Customers!$A$2:$F$1001,3,FALSE())</f>
        <v>North</v>
      </c>
      <c r="N909" t="str">
        <f>VLOOKUP(C909,Customers!$A$2:$F$1001,4,FALSE())</f>
        <v>Consumer</v>
      </c>
    </row>
    <row r="910" spans="1:14" x14ac:dyDescent="0.25">
      <c r="A910">
        <v>909</v>
      </c>
      <c r="B910" t="s">
        <v>1891</v>
      </c>
      <c r="C910" t="s">
        <v>1649</v>
      </c>
      <c r="D910" t="s">
        <v>1816</v>
      </c>
      <c r="E910">
        <v>1</v>
      </c>
      <c r="F910">
        <v>300</v>
      </c>
      <c r="G910">
        <v>300</v>
      </c>
      <c r="H910" s="9">
        <v>0.05</v>
      </c>
      <c r="I910">
        <v>43.93</v>
      </c>
      <c r="J910" s="10">
        <f t="shared" si="28"/>
        <v>10</v>
      </c>
      <c r="K910" s="11">
        <f t="shared" si="29"/>
        <v>0.14643333333333333</v>
      </c>
      <c r="L910" t="str">
        <f>VLOOKUP(C910,Customers!$A$2:$F$1001,2,FALSE())</f>
        <v>Barbara Hernandez</v>
      </c>
      <c r="M910" t="str">
        <f>VLOOKUP(C910,Customers!$A$2:$F$1001,3,FALSE())</f>
        <v>West</v>
      </c>
      <c r="N910" t="str">
        <f>VLOOKUP(C910,Customers!$A$2:$F$1001,4,FALSE())</f>
        <v>Home Office</v>
      </c>
    </row>
    <row r="911" spans="1:14" x14ac:dyDescent="0.25">
      <c r="A911">
        <v>910</v>
      </c>
      <c r="B911" t="s">
        <v>1963</v>
      </c>
      <c r="C911" t="s">
        <v>1651</v>
      </c>
      <c r="D911" t="s">
        <v>1812</v>
      </c>
      <c r="E911">
        <v>3</v>
      </c>
      <c r="F911">
        <v>50</v>
      </c>
      <c r="G911">
        <v>150</v>
      </c>
      <c r="H911" s="9">
        <v>0.15</v>
      </c>
      <c r="I911">
        <v>24.84</v>
      </c>
      <c r="J911" s="10">
        <f t="shared" si="28"/>
        <v>3</v>
      </c>
      <c r="K911" s="11">
        <f t="shared" si="29"/>
        <v>0.1656</v>
      </c>
      <c r="L911" t="str">
        <f>VLOOKUP(C911,Customers!$A$2:$F$1001,2,FALSE())</f>
        <v>Michael Lopez</v>
      </c>
      <c r="M911" t="str">
        <f>VLOOKUP(C911,Customers!$A$2:$F$1001,3,FALSE())</f>
        <v>West</v>
      </c>
      <c r="N911" t="str">
        <f>VLOOKUP(C911,Customers!$A$2:$F$1001,4,FALSE())</f>
        <v>Corporate</v>
      </c>
    </row>
    <row r="912" spans="1:14" x14ac:dyDescent="0.25">
      <c r="A912">
        <v>911</v>
      </c>
      <c r="B912" t="s">
        <v>1817</v>
      </c>
      <c r="C912" t="s">
        <v>1652</v>
      </c>
      <c r="D912" t="s">
        <v>1816</v>
      </c>
      <c r="E912">
        <v>3</v>
      </c>
      <c r="F912">
        <v>300</v>
      </c>
      <c r="G912">
        <v>900</v>
      </c>
      <c r="H912" s="9">
        <v>0.05</v>
      </c>
      <c r="I912">
        <v>96.68</v>
      </c>
      <c r="J912" s="10">
        <f t="shared" si="28"/>
        <v>5</v>
      </c>
      <c r="K912" s="11">
        <f t="shared" si="29"/>
        <v>0.10742222222222222</v>
      </c>
      <c r="L912" t="str">
        <f>VLOOKUP(C912,Customers!$A$2:$F$1001,2,FALSE())</f>
        <v>Jessica Walker</v>
      </c>
      <c r="M912" t="str">
        <f>VLOOKUP(C912,Customers!$A$2:$F$1001,3,FALSE())</f>
        <v>North</v>
      </c>
      <c r="N912" t="str">
        <f>VLOOKUP(C912,Customers!$A$2:$F$1001,4,FALSE())</f>
        <v>Corporate</v>
      </c>
    </row>
    <row r="913" spans="1:14" x14ac:dyDescent="0.25">
      <c r="A913">
        <v>912</v>
      </c>
      <c r="B913" t="s">
        <v>1872</v>
      </c>
      <c r="C913" t="s">
        <v>1654</v>
      </c>
      <c r="D913" t="s">
        <v>1812</v>
      </c>
      <c r="E913">
        <v>3</v>
      </c>
      <c r="F913">
        <v>50</v>
      </c>
      <c r="G913">
        <v>150</v>
      </c>
      <c r="H913" s="9">
        <v>0.05</v>
      </c>
      <c r="I913">
        <v>37.299999999999997</v>
      </c>
      <c r="J913" s="10">
        <f t="shared" si="28"/>
        <v>1</v>
      </c>
      <c r="K913" s="11">
        <f t="shared" si="29"/>
        <v>0.24866666666666665</v>
      </c>
      <c r="L913" t="str">
        <f>VLOOKUP(C913,Customers!$A$2:$F$1001,2,FALSE())</f>
        <v>Jessica Scott</v>
      </c>
      <c r="M913" t="str">
        <f>VLOOKUP(C913,Customers!$A$2:$F$1001,3,FALSE())</f>
        <v>North</v>
      </c>
      <c r="N913" t="str">
        <f>VLOOKUP(C913,Customers!$A$2:$F$1001,4,FALSE())</f>
        <v>Consumer</v>
      </c>
    </row>
    <row r="914" spans="1:14" x14ac:dyDescent="0.25">
      <c r="A914">
        <v>913</v>
      </c>
      <c r="B914" t="s">
        <v>1999</v>
      </c>
      <c r="C914" t="s">
        <v>1656</v>
      </c>
      <c r="D914" t="s">
        <v>1816</v>
      </c>
      <c r="E914">
        <v>3</v>
      </c>
      <c r="F914">
        <v>30</v>
      </c>
      <c r="G914">
        <v>90</v>
      </c>
      <c r="H914" s="9">
        <v>0.15</v>
      </c>
      <c r="I914">
        <v>-3.97</v>
      </c>
      <c r="J914" s="10">
        <f t="shared" si="28"/>
        <v>1</v>
      </c>
      <c r="K914" s="11">
        <f t="shared" si="29"/>
        <v>-4.4111111111111115E-2</v>
      </c>
      <c r="L914" t="str">
        <f>VLOOKUP(C914,Customers!$A$2:$F$1001,2,FALSE())</f>
        <v>Joshua Torres</v>
      </c>
      <c r="M914" t="str">
        <f>VLOOKUP(C914,Customers!$A$2:$F$1001,3,FALSE())</f>
        <v>West</v>
      </c>
      <c r="N914" t="str">
        <f>VLOOKUP(C914,Customers!$A$2:$F$1001,4,FALSE())</f>
        <v>Corporate</v>
      </c>
    </row>
    <row r="915" spans="1:14" x14ac:dyDescent="0.25">
      <c r="A915">
        <v>914</v>
      </c>
      <c r="B915" t="s">
        <v>1934</v>
      </c>
      <c r="C915" t="s">
        <v>1657</v>
      </c>
      <c r="D915" t="s">
        <v>1816</v>
      </c>
      <c r="E915">
        <v>1</v>
      </c>
      <c r="F915">
        <v>500</v>
      </c>
      <c r="G915">
        <v>500</v>
      </c>
      <c r="H915" s="9">
        <v>0.05</v>
      </c>
      <c r="I915">
        <v>34.92</v>
      </c>
      <c r="J915" s="10">
        <f t="shared" si="28"/>
        <v>10</v>
      </c>
      <c r="K915" s="11">
        <f t="shared" si="29"/>
        <v>6.9839999999999999E-2</v>
      </c>
      <c r="L915" t="str">
        <f>VLOOKUP(C915,Customers!$A$2:$F$1001,2,FALSE())</f>
        <v>Jennifer Flores</v>
      </c>
      <c r="M915" t="str">
        <f>VLOOKUP(C915,Customers!$A$2:$F$1001,3,FALSE())</f>
        <v>East</v>
      </c>
      <c r="N915" t="str">
        <f>VLOOKUP(C915,Customers!$A$2:$F$1001,4,FALSE())</f>
        <v>Corporate</v>
      </c>
    </row>
    <row r="916" spans="1:14" x14ac:dyDescent="0.25">
      <c r="A916">
        <v>915</v>
      </c>
      <c r="B916" t="s">
        <v>2151</v>
      </c>
      <c r="C916" t="s">
        <v>1658</v>
      </c>
      <c r="D916" t="s">
        <v>1812</v>
      </c>
      <c r="E916">
        <v>3</v>
      </c>
      <c r="F916">
        <v>30</v>
      </c>
      <c r="G916">
        <v>90</v>
      </c>
      <c r="H916" s="9">
        <v>0.05</v>
      </c>
      <c r="I916">
        <v>30.07</v>
      </c>
      <c r="J916" s="10">
        <f t="shared" si="28"/>
        <v>5</v>
      </c>
      <c r="K916" s="11">
        <f t="shared" si="29"/>
        <v>0.33411111111111114</v>
      </c>
      <c r="L916" t="str">
        <f>VLOOKUP(C916,Customers!$A$2:$F$1001,2,FALSE())</f>
        <v>Donald Flores</v>
      </c>
      <c r="M916" t="str">
        <f>VLOOKUP(C916,Customers!$A$2:$F$1001,3,FALSE())</f>
        <v>North</v>
      </c>
      <c r="N916" t="str">
        <f>VLOOKUP(C916,Customers!$A$2:$F$1001,4,FALSE())</f>
        <v>Consumer</v>
      </c>
    </row>
    <row r="917" spans="1:14" x14ac:dyDescent="0.25">
      <c r="A917">
        <v>916</v>
      </c>
      <c r="B917" t="s">
        <v>1846</v>
      </c>
      <c r="C917" t="s">
        <v>1660</v>
      </c>
      <c r="D917" t="s">
        <v>1816</v>
      </c>
      <c r="E917">
        <v>1</v>
      </c>
      <c r="F917">
        <v>50</v>
      </c>
      <c r="G917">
        <v>50</v>
      </c>
      <c r="H917" s="9">
        <v>0.05</v>
      </c>
      <c r="I917">
        <v>3.62</v>
      </c>
      <c r="J917" s="10">
        <f t="shared" si="28"/>
        <v>12</v>
      </c>
      <c r="K917" s="11">
        <f t="shared" si="29"/>
        <v>7.2400000000000006E-2</v>
      </c>
      <c r="L917" t="str">
        <f>VLOOKUP(C917,Customers!$A$2:$F$1001,2,FALSE())</f>
        <v>Sarah Hill</v>
      </c>
      <c r="M917" t="str">
        <f>VLOOKUP(C917,Customers!$A$2:$F$1001,3,FALSE())</f>
        <v>North</v>
      </c>
      <c r="N917" t="str">
        <f>VLOOKUP(C917,Customers!$A$2:$F$1001,4,FALSE())</f>
        <v>Consumer</v>
      </c>
    </row>
    <row r="918" spans="1:14" x14ac:dyDescent="0.25">
      <c r="A918">
        <v>917</v>
      </c>
      <c r="B918" t="s">
        <v>1963</v>
      </c>
      <c r="C918" t="s">
        <v>1661</v>
      </c>
      <c r="D918" t="s">
        <v>1816</v>
      </c>
      <c r="E918">
        <v>4</v>
      </c>
      <c r="F918">
        <v>50</v>
      </c>
      <c r="G918">
        <v>200</v>
      </c>
      <c r="H918" s="9">
        <v>0.05</v>
      </c>
      <c r="I918">
        <v>22.55</v>
      </c>
      <c r="J918" s="10">
        <f t="shared" si="28"/>
        <v>3</v>
      </c>
      <c r="K918" s="11">
        <f t="shared" si="29"/>
        <v>0.11275</v>
      </c>
      <c r="L918" t="str">
        <f>VLOOKUP(C918,Customers!$A$2:$F$1001,2,FALSE())</f>
        <v>Sandra Williams</v>
      </c>
      <c r="M918" t="str">
        <f>VLOOKUP(C918,Customers!$A$2:$F$1001,3,FALSE())</f>
        <v>East</v>
      </c>
      <c r="N918" t="str">
        <f>VLOOKUP(C918,Customers!$A$2:$F$1001,4,FALSE())</f>
        <v>Consumer</v>
      </c>
    </row>
    <row r="919" spans="1:14" x14ac:dyDescent="0.25">
      <c r="A919">
        <v>918</v>
      </c>
      <c r="B919" t="s">
        <v>2064</v>
      </c>
      <c r="C919" t="s">
        <v>1663</v>
      </c>
      <c r="D919" t="s">
        <v>1816</v>
      </c>
      <c r="E919">
        <v>3</v>
      </c>
      <c r="F919">
        <v>30</v>
      </c>
      <c r="G919">
        <v>90</v>
      </c>
      <c r="H919" s="9">
        <v>0.05</v>
      </c>
      <c r="I919">
        <v>6.34</v>
      </c>
      <c r="J919" s="10">
        <f t="shared" si="28"/>
        <v>11</v>
      </c>
      <c r="K919" s="11">
        <f t="shared" si="29"/>
        <v>7.0444444444444448E-2</v>
      </c>
      <c r="L919" t="str">
        <f>VLOOKUP(C919,Customers!$A$2:$F$1001,2,FALSE())</f>
        <v>Christopher Garcia</v>
      </c>
      <c r="M919" t="str">
        <f>VLOOKUP(C919,Customers!$A$2:$F$1001,3,FALSE())</f>
        <v>East</v>
      </c>
      <c r="N919" t="str">
        <f>VLOOKUP(C919,Customers!$A$2:$F$1001,4,FALSE())</f>
        <v>Home Office</v>
      </c>
    </row>
    <row r="920" spans="1:14" x14ac:dyDescent="0.25">
      <c r="A920">
        <v>919</v>
      </c>
      <c r="B920" t="s">
        <v>2145</v>
      </c>
      <c r="C920" t="s">
        <v>1665</v>
      </c>
      <c r="D920" t="s">
        <v>1812</v>
      </c>
      <c r="E920">
        <v>2</v>
      </c>
      <c r="F920">
        <v>25</v>
      </c>
      <c r="G920">
        <v>50</v>
      </c>
      <c r="H920" s="9">
        <v>0.1</v>
      </c>
      <c r="I920">
        <v>10.82</v>
      </c>
      <c r="J920" s="10">
        <f t="shared" si="28"/>
        <v>9</v>
      </c>
      <c r="K920" s="11">
        <f t="shared" si="29"/>
        <v>0.21640000000000001</v>
      </c>
      <c r="L920" t="str">
        <f>VLOOKUP(C920,Customers!$A$2:$F$1001,2,FALSE())</f>
        <v>Melissa Gonzalez</v>
      </c>
      <c r="M920" t="str">
        <f>VLOOKUP(C920,Customers!$A$2:$F$1001,3,FALSE())</f>
        <v>East</v>
      </c>
      <c r="N920" t="str">
        <f>VLOOKUP(C920,Customers!$A$2:$F$1001,4,FALSE())</f>
        <v>Consumer</v>
      </c>
    </row>
    <row r="921" spans="1:14" x14ac:dyDescent="0.25">
      <c r="A921">
        <v>920</v>
      </c>
      <c r="B921" t="s">
        <v>1821</v>
      </c>
      <c r="C921" t="s">
        <v>1667</v>
      </c>
      <c r="D921" t="s">
        <v>1812</v>
      </c>
      <c r="E921">
        <v>3</v>
      </c>
      <c r="F921">
        <v>25</v>
      </c>
      <c r="G921">
        <v>75</v>
      </c>
      <c r="H921" s="9">
        <v>0.05</v>
      </c>
      <c r="I921">
        <v>21.2</v>
      </c>
      <c r="J921" s="10">
        <f t="shared" si="28"/>
        <v>2</v>
      </c>
      <c r="K921" s="11">
        <f t="shared" si="29"/>
        <v>0.28266666666666668</v>
      </c>
      <c r="L921" t="str">
        <f>VLOOKUP(C921,Customers!$A$2:$F$1001,2,FALSE())</f>
        <v>Barbara Thompson</v>
      </c>
      <c r="M921" t="str">
        <f>VLOOKUP(C921,Customers!$A$2:$F$1001,3,FALSE())</f>
        <v>West</v>
      </c>
      <c r="N921" t="str">
        <f>VLOOKUP(C921,Customers!$A$2:$F$1001,4,FALSE())</f>
        <v>Corporate</v>
      </c>
    </row>
    <row r="922" spans="1:14" x14ac:dyDescent="0.25">
      <c r="A922">
        <v>921</v>
      </c>
      <c r="B922" t="s">
        <v>2140</v>
      </c>
      <c r="C922" t="s">
        <v>1668</v>
      </c>
      <c r="D922" t="s">
        <v>1816</v>
      </c>
      <c r="E922">
        <v>3</v>
      </c>
      <c r="F922">
        <v>25</v>
      </c>
      <c r="G922">
        <v>75</v>
      </c>
      <c r="H922" s="9">
        <v>0</v>
      </c>
      <c r="I922">
        <v>14.14</v>
      </c>
      <c r="J922" s="10">
        <f t="shared" si="28"/>
        <v>1</v>
      </c>
      <c r="K922" s="11">
        <f t="shared" si="29"/>
        <v>0.18853333333333333</v>
      </c>
      <c r="L922" t="str">
        <f>VLOOKUP(C922,Customers!$A$2:$F$1001,2,FALSE())</f>
        <v>Nancy Brown</v>
      </c>
      <c r="M922" t="str">
        <f>VLOOKUP(C922,Customers!$A$2:$F$1001,3,FALSE())</f>
        <v>South</v>
      </c>
      <c r="N922" t="str">
        <f>VLOOKUP(C922,Customers!$A$2:$F$1001,4,FALSE())</f>
        <v>Home Office</v>
      </c>
    </row>
    <row r="923" spans="1:14" x14ac:dyDescent="0.25">
      <c r="A923">
        <v>922</v>
      </c>
      <c r="B923" t="s">
        <v>2152</v>
      </c>
      <c r="C923" t="s">
        <v>1670</v>
      </c>
      <c r="D923" t="s">
        <v>1816</v>
      </c>
      <c r="E923">
        <v>1</v>
      </c>
      <c r="F923">
        <v>50</v>
      </c>
      <c r="G923">
        <v>50</v>
      </c>
      <c r="H923" s="9">
        <v>0.15</v>
      </c>
      <c r="I923">
        <v>-2.5</v>
      </c>
      <c r="J923" s="10">
        <f t="shared" si="28"/>
        <v>10</v>
      </c>
      <c r="K923" s="11">
        <f t="shared" si="29"/>
        <v>-0.05</v>
      </c>
      <c r="L923" t="str">
        <f>VLOOKUP(C923,Customers!$A$2:$F$1001,2,FALSE())</f>
        <v>Kenneth King</v>
      </c>
      <c r="M923" t="str">
        <f>VLOOKUP(C923,Customers!$A$2:$F$1001,3,FALSE())</f>
        <v>South</v>
      </c>
      <c r="N923" t="str">
        <f>VLOOKUP(C923,Customers!$A$2:$F$1001,4,FALSE())</f>
        <v>Consumer</v>
      </c>
    </row>
    <row r="924" spans="1:14" x14ac:dyDescent="0.25">
      <c r="A924">
        <v>923</v>
      </c>
      <c r="B924" t="s">
        <v>2046</v>
      </c>
      <c r="C924" t="s">
        <v>1671</v>
      </c>
      <c r="D924" t="s">
        <v>1812</v>
      </c>
      <c r="E924">
        <v>3</v>
      </c>
      <c r="F924">
        <v>300</v>
      </c>
      <c r="G924">
        <v>900</v>
      </c>
      <c r="H924" s="9">
        <v>0.05</v>
      </c>
      <c r="I924">
        <v>225.48</v>
      </c>
      <c r="J924" s="10">
        <f t="shared" si="28"/>
        <v>5</v>
      </c>
      <c r="K924" s="11">
        <f t="shared" si="29"/>
        <v>0.25053333333333333</v>
      </c>
      <c r="L924" t="str">
        <f>VLOOKUP(C924,Customers!$A$2:$F$1001,2,FALSE())</f>
        <v>Donna Harris</v>
      </c>
      <c r="M924" t="str">
        <f>VLOOKUP(C924,Customers!$A$2:$F$1001,3,FALSE())</f>
        <v>South</v>
      </c>
      <c r="N924" t="str">
        <f>VLOOKUP(C924,Customers!$A$2:$F$1001,4,FALSE())</f>
        <v>Consumer</v>
      </c>
    </row>
    <row r="925" spans="1:14" x14ac:dyDescent="0.25">
      <c r="A925">
        <v>924</v>
      </c>
      <c r="B925" t="s">
        <v>2075</v>
      </c>
      <c r="C925" t="s">
        <v>1672</v>
      </c>
      <c r="D925" t="s">
        <v>1812</v>
      </c>
      <c r="E925">
        <v>2</v>
      </c>
      <c r="F925">
        <v>50</v>
      </c>
      <c r="G925">
        <v>100</v>
      </c>
      <c r="H925" s="9">
        <v>0.2</v>
      </c>
      <c r="I925">
        <v>5.16</v>
      </c>
      <c r="J925" s="10">
        <f t="shared" si="28"/>
        <v>8</v>
      </c>
      <c r="K925" s="11">
        <f t="shared" si="29"/>
        <v>5.16E-2</v>
      </c>
      <c r="L925" t="str">
        <f>VLOOKUP(C925,Customers!$A$2:$F$1001,2,FALSE())</f>
        <v>Christopher Perez</v>
      </c>
      <c r="M925" t="str">
        <f>VLOOKUP(C925,Customers!$A$2:$F$1001,3,FALSE())</f>
        <v>South</v>
      </c>
      <c r="N925" t="str">
        <f>VLOOKUP(C925,Customers!$A$2:$F$1001,4,FALSE())</f>
        <v>Corporate</v>
      </c>
    </row>
    <row r="926" spans="1:14" x14ac:dyDescent="0.25">
      <c r="A926">
        <v>925</v>
      </c>
      <c r="B926" t="s">
        <v>2153</v>
      </c>
      <c r="C926" t="s">
        <v>1673</v>
      </c>
      <c r="D926" t="s">
        <v>1816</v>
      </c>
      <c r="E926">
        <v>1</v>
      </c>
      <c r="F926">
        <v>300</v>
      </c>
      <c r="G926">
        <v>300</v>
      </c>
      <c r="H926" s="9">
        <v>0</v>
      </c>
      <c r="I926">
        <v>35.21</v>
      </c>
      <c r="J926" s="10">
        <f t="shared" si="28"/>
        <v>9</v>
      </c>
      <c r="K926" s="11">
        <f t="shared" si="29"/>
        <v>0.11736666666666667</v>
      </c>
      <c r="L926" t="str">
        <f>VLOOKUP(C926,Customers!$A$2:$F$1001,2,FALSE())</f>
        <v>Anthony Miller</v>
      </c>
      <c r="M926" t="str">
        <f>VLOOKUP(C926,Customers!$A$2:$F$1001,3,FALSE())</f>
        <v>North</v>
      </c>
      <c r="N926" t="str">
        <f>VLOOKUP(C926,Customers!$A$2:$F$1001,4,FALSE())</f>
        <v>Consumer</v>
      </c>
    </row>
    <row r="927" spans="1:14" x14ac:dyDescent="0.25">
      <c r="A927">
        <v>926</v>
      </c>
      <c r="B927" t="s">
        <v>2120</v>
      </c>
      <c r="C927" t="s">
        <v>1675</v>
      </c>
      <c r="D927" t="s">
        <v>1816</v>
      </c>
      <c r="E927">
        <v>1</v>
      </c>
      <c r="F927">
        <v>30</v>
      </c>
      <c r="G927">
        <v>30</v>
      </c>
      <c r="H927" s="9">
        <v>0.1</v>
      </c>
      <c r="I927">
        <v>0.17</v>
      </c>
      <c r="J927" s="10">
        <f t="shared" si="28"/>
        <v>8</v>
      </c>
      <c r="K927" s="11">
        <f t="shared" si="29"/>
        <v>5.6666666666666671E-3</v>
      </c>
      <c r="L927" t="str">
        <f>VLOOKUP(C927,Customers!$A$2:$F$1001,2,FALSE())</f>
        <v>John Hernandez</v>
      </c>
      <c r="M927" t="str">
        <f>VLOOKUP(C927,Customers!$A$2:$F$1001,3,FALSE())</f>
        <v>North</v>
      </c>
      <c r="N927" t="str">
        <f>VLOOKUP(C927,Customers!$A$2:$F$1001,4,FALSE())</f>
        <v>Corporate</v>
      </c>
    </row>
    <row r="928" spans="1:14" x14ac:dyDescent="0.25">
      <c r="A928">
        <v>927</v>
      </c>
      <c r="B928" t="s">
        <v>1847</v>
      </c>
      <c r="C928" t="s">
        <v>1676</v>
      </c>
      <c r="D928" t="s">
        <v>1816</v>
      </c>
      <c r="E928">
        <v>4</v>
      </c>
      <c r="F928">
        <v>500</v>
      </c>
      <c r="G928">
        <v>2000</v>
      </c>
      <c r="H928" s="9">
        <v>0.05</v>
      </c>
      <c r="I928">
        <v>83.13</v>
      </c>
      <c r="J928" s="10">
        <f t="shared" si="28"/>
        <v>6</v>
      </c>
      <c r="K928" s="11">
        <f t="shared" si="29"/>
        <v>4.1564999999999998E-2</v>
      </c>
      <c r="L928" t="str">
        <f>VLOOKUP(C928,Customers!$A$2:$F$1001,2,FALSE())</f>
        <v>Daniel Miller</v>
      </c>
      <c r="M928" t="str">
        <f>VLOOKUP(C928,Customers!$A$2:$F$1001,3,FALSE())</f>
        <v>South</v>
      </c>
      <c r="N928" t="str">
        <f>VLOOKUP(C928,Customers!$A$2:$F$1001,4,FALSE())</f>
        <v>Corporate</v>
      </c>
    </row>
    <row r="929" spans="1:14" x14ac:dyDescent="0.25">
      <c r="A929">
        <v>928</v>
      </c>
      <c r="B929" t="s">
        <v>2148</v>
      </c>
      <c r="C929" t="s">
        <v>1677</v>
      </c>
      <c r="D929" t="s">
        <v>1814</v>
      </c>
      <c r="E929">
        <v>4</v>
      </c>
      <c r="F929">
        <v>300</v>
      </c>
      <c r="G929">
        <v>1200</v>
      </c>
      <c r="H929" s="9">
        <v>0.15</v>
      </c>
      <c r="I929">
        <v>57.57</v>
      </c>
      <c r="J929" s="10">
        <f t="shared" si="28"/>
        <v>4</v>
      </c>
      <c r="K929" s="11">
        <f t="shared" si="29"/>
        <v>4.7974999999999997E-2</v>
      </c>
      <c r="L929" t="str">
        <f>VLOOKUP(C929,Customers!$A$2:$F$1001,2,FALSE())</f>
        <v>Jennifer Wright</v>
      </c>
      <c r="M929" t="str">
        <f>VLOOKUP(C929,Customers!$A$2:$F$1001,3,FALSE())</f>
        <v>East</v>
      </c>
      <c r="N929" t="str">
        <f>VLOOKUP(C929,Customers!$A$2:$F$1001,4,FALSE())</f>
        <v>Corporate</v>
      </c>
    </row>
    <row r="930" spans="1:14" x14ac:dyDescent="0.25">
      <c r="A930">
        <v>929</v>
      </c>
      <c r="B930" t="s">
        <v>2060</v>
      </c>
      <c r="C930" t="s">
        <v>1679</v>
      </c>
      <c r="D930" t="s">
        <v>1812</v>
      </c>
      <c r="E930">
        <v>3</v>
      </c>
      <c r="F930">
        <v>25</v>
      </c>
      <c r="G930">
        <v>75</v>
      </c>
      <c r="H930" s="9">
        <v>0</v>
      </c>
      <c r="I930">
        <v>21.72</v>
      </c>
      <c r="J930" s="10">
        <f t="shared" si="28"/>
        <v>1</v>
      </c>
      <c r="K930" s="11">
        <f t="shared" si="29"/>
        <v>0.28959999999999997</v>
      </c>
      <c r="L930" t="str">
        <f>VLOOKUP(C930,Customers!$A$2:$F$1001,2,FALSE())</f>
        <v>Charles White</v>
      </c>
      <c r="M930" t="str">
        <f>VLOOKUP(C930,Customers!$A$2:$F$1001,3,FALSE())</f>
        <v>North</v>
      </c>
      <c r="N930" t="str">
        <f>VLOOKUP(C930,Customers!$A$2:$F$1001,4,FALSE())</f>
        <v>Consumer</v>
      </c>
    </row>
    <row r="931" spans="1:14" x14ac:dyDescent="0.25">
      <c r="A931">
        <v>930</v>
      </c>
      <c r="B931" t="s">
        <v>2132</v>
      </c>
      <c r="C931" t="s">
        <v>1680</v>
      </c>
      <c r="D931" t="s">
        <v>1814</v>
      </c>
      <c r="E931">
        <v>4</v>
      </c>
      <c r="F931">
        <v>50</v>
      </c>
      <c r="G931">
        <v>200</v>
      </c>
      <c r="H931" s="9">
        <v>0.2</v>
      </c>
      <c r="I931">
        <v>-4.1100000000000003</v>
      </c>
      <c r="J931" s="10">
        <f t="shared" si="28"/>
        <v>5</v>
      </c>
      <c r="K931" s="11">
        <f t="shared" si="29"/>
        <v>-2.0550000000000002E-2</v>
      </c>
      <c r="L931" t="str">
        <f>VLOOKUP(C931,Customers!$A$2:$F$1001,2,FALSE())</f>
        <v>Anthony Robinson</v>
      </c>
      <c r="M931" t="str">
        <f>VLOOKUP(C931,Customers!$A$2:$F$1001,3,FALSE())</f>
        <v>South</v>
      </c>
      <c r="N931" t="str">
        <f>VLOOKUP(C931,Customers!$A$2:$F$1001,4,FALSE())</f>
        <v>Corporate</v>
      </c>
    </row>
    <row r="932" spans="1:14" x14ac:dyDescent="0.25">
      <c r="A932">
        <v>931</v>
      </c>
      <c r="B932" t="s">
        <v>2025</v>
      </c>
      <c r="C932" t="s">
        <v>1681</v>
      </c>
      <c r="D932" t="s">
        <v>1812</v>
      </c>
      <c r="E932">
        <v>4</v>
      </c>
      <c r="F932">
        <v>30</v>
      </c>
      <c r="G932">
        <v>120</v>
      </c>
      <c r="H932" s="9">
        <v>0.05</v>
      </c>
      <c r="I932">
        <v>39.119999999999997</v>
      </c>
      <c r="J932" s="10">
        <f t="shared" si="28"/>
        <v>9</v>
      </c>
      <c r="K932" s="11">
        <f t="shared" si="29"/>
        <v>0.32599999999999996</v>
      </c>
      <c r="L932" t="str">
        <f>VLOOKUP(C932,Customers!$A$2:$F$1001,2,FALSE())</f>
        <v>Andrew Lopez</v>
      </c>
      <c r="M932" t="str">
        <f>VLOOKUP(C932,Customers!$A$2:$F$1001,3,FALSE())</f>
        <v>East</v>
      </c>
      <c r="N932" t="str">
        <f>VLOOKUP(C932,Customers!$A$2:$F$1001,4,FALSE())</f>
        <v>Corporate</v>
      </c>
    </row>
    <row r="933" spans="1:14" x14ac:dyDescent="0.25">
      <c r="A933">
        <v>932</v>
      </c>
      <c r="B933" t="s">
        <v>1936</v>
      </c>
      <c r="C933" t="s">
        <v>1683</v>
      </c>
      <c r="D933" t="s">
        <v>1812</v>
      </c>
      <c r="E933">
        <v>4</v>
      </c>
      <c r="F933">
        <v>25</v>
      </c>
      <c r="G933">
        <v>100</v>
      </c>
      <c r="H933" s="9">
        <v>0.1</v>
      </c>
      <c r="I933">
        <v>24.21</v>
      </c>
      <c r="J933" s="10">
        <f t="shared" si="28"/>
        <v>2</v>
      </c>
      <c r="K933" s="11">
        <f t="shared" si="29"/>
        <v>0.24210000000000001</v>
      </c>
      <c r="L933" t="str">
        <f>VLOOKUP(C933,Customers!$A$2:$F$1001,2,FALSE())</f>
        <v>Kevin Anderson</v>
      </c>
      <c r="M933" t="str">
        <f>VLOOKUP(C933,Customers!$A$2:$F$1001,3,FALSE())</f>
        <v>East</v>
      </c>
      <c r="N933" t="str">
        <f>VLOOKUP(C933,Customers!$A$2:$F$1001,4,FALSE())</f>
        <v>Consumer</v>
      </c>
    </row>
    <row r="934" spans="1:14" x14ac:dyDescent="0.25">
      <c r="A934">
        <v>933</v>
      </c>
      <c r="B934" t="s">
        <v>1903</v>
      </c>
      <c r="C934" t="s">
        <v>1685</v>
      </c>
      <c r="D934" t="s">
        <v>1812</v>
      </c>
      <c r="E934">
        <v>1</v>
      </c>
      <c r="F934">
        <v>30</v>
      </c>
      <c r="G934">
        <v>30</v>
      </c>
      <c r="H934" s="9">
        <v>0.05</v>
      </c>
      <c r="I934">
        <v>8.8699999999999992</v>
      </c>
      <c r="J934" s="10">
        <f t="shared" si="28"/>
        <v>2</v>
      </c>
      <c r="K934" s="11">
        <f t="shared" si="29"/>
        <v>0.29566666666666663</v>
      </c>
      <c r="L934" t="str">
        <f>VLOOKUP(C934,Customers!$A$2:$F$1001,2,FALSE())</f>
        <v>Dorothy Taylor</v>
      </c>
      <c r="M934" t="str">
        <f>VLOOKUP(C934,Customers!$A$2:$F$1001,3,FALSE())</f>
        <v>East</v>
      </c>
      <c r="N934" t="str">
        <f>VLOOKUP(C934,Customers!$A$2:$F$1001,4,FALSE())</f>
        <v>Corporate</v>
      </c>
    </row>
    <row r="935" spans="1:14" x14ac:dyDescent="0.25">
      <c r="A935">
        <v>934</v>
      </c>
      <c r="B935" t="s">
        <v>1901</v>
      </c>
      <c r="C935" t="s">
        <v>1687</v>
      </c>
      <c r="D935" t="s">
        <v>1812</v>
      </c>
      <c r="E935">
        <v>1</v>
      </c>
      <c r="F935">
        <v>500</v>
      </c>
      <c r="G935">
        <v>500</v>
      </c>
      <c r="H935" s="9">
        <v>0</v>
      </c>
      <c r="I935">
        <v>159.96</v>
      </c>
      <c r="J935" s="10">
        <f t="shared" si="28"/>
        <v>7</v>
      </c>
      <c r="K935" s="11">
        <f t="shared" si="29"/>
        <v>0.31992000000000004</v>
      </c>
      <c r="L935" t="str">
        <f>VLOOKUP(C935,Customers!$A$2:$F$1001,2,FALSE())</f>
        <v>Jennifer Walker</v>
      </c>
      <c r="M935" t="str">
        <f>VLOOKUP(C935,Customers!$A$2:$F$1001,3,FALSE())</f>
        <v>West</v>
      </c>
      <c r="N935" t="str">
        <f>VLOOKUP(C935,Customers!$A$2:$F$1001,4,FALSE())</f>
        <v>Home Office</v>
      </c>
    </row>
    <row r="936" spans="1:14" x14ac:dyDescent="0.25">
      <c r="A936">
        <v>935</v>
      </c>
      <c r="B936" t="s">
        <v>2145</v>
      </c>
      <c r="C936" t="s">
        <v>1689</v>
      </c>
      <c r="D936" t="s">
        <v>1812</v>
      </c>
      <c r="E936">
        <v>1</v>
      </c>
      <c r="F936">
        <v>50</v>
      </c>
      <c r="G936">
        <v>50</v>
      </c>
      <c r="H936" s="9">
        <v>0.05</v>
      </c>
      <c r="I936">
        <v>12.2</v>
      </c>
      <c r="J936" s="10">
        <f t="shared" si="28"/>
        <v>9</v>
      </c>
      <c r="K936" s="11">
        <f t="shared" si="29"/>
        <v>0.24399999999999999</v>
      </c>
      <c r="L936" t="str">
        <f>VLOOKUP(C936,Customers!$A$2:$F$1001,2,FALSE())</f>
        <v>Mary Walker</v>
      </c>
      <c r="M936" t="str">
        <f>VLOOKUP(C936,Customers!$A$2:$F$1001,3,FALSE())</f>
        <v>East</v>
      </c>
      <c r="N936" t="str">
        <f>VLOOKUP(C936,Customers!$A$2:$F$1001,4,FALSE())</f>
        <v>Corporate</v>
      </c>
    </row>
    <row r="937" spans="1:14" x14ac:dyDescent="0.25">
      <c r="A937">
        <v>936</v>
      </c>
      <c r="B937" t="s">
        <v>2041</v>
      </c>
      <c r="C937" t="s">
        <v>1690</v>
      </c>
      <c r="D937" t="s">
        <v>1812</v>
      </c>
      <c r="E937">
        <v>4</v>
      </c>
      <c r="F937">
        <v>50</v>
      </c>
      <c r="G937">
        <v>200</v>
      </c>
      <c r="H937" s="9">
        <v>0</v>
      </c>
      <c r="I937">
        <v>63.17</v>
      </c>
      <c r="J937" s="10">
        <f t="shared" si="28"/>
        <v>2</v>
      </c>
      <c r="K937" s="11">
        <f t="shared" si="29"/>
        <v>0.31585000000000002</v>
      </c>
      <c r="L937" t="str">
        <f>VLOOKUP(C937,Customers!$A$2:$F$1001,2,FALSE())</f>
        <v>Robert Rodriguez</v>
      </c>
      <c r="M937" t="str">
        <f>VLOOKUP(C937,Customers!$A$2:$F$1001,3,FALSE())</f>
        <v>North</v>
      </c>
      <c r="N937" t="str">
        <f>VLOOKUP(C937,Customers!$A$2:$F$1001,4,FALSE())</f>
        <v>Consumer</v>
      </c>
    </row>
    <row r="938" spans="1:14" x14ac:dyDescent="0.25">
      <c r="A938">
        <v>937</v>
      </c>
      <c r="B938" t="s">
        <v>1868</v>
      </c>
      <c r="C938" t="s">
        <v>1692</v>
      </c>
      <c r="D938" t="s">
        <v>1812</v>
      </c>
      <c r="E938">
        <v>1</v>
      </c>
      <c r="F938">
        <v>500</v>
      </c>
      <c r="G938">
        <v>500</v>
      </c>
      <c r="H938" s="9">
        <v>0.05</v>
      </c>
      <c r="I938">
        <v>144.35</v>
      </c>
      <c r="J938" s="10">
        <f t="shared" si="28"/>
        <v>10</v>
      </c>
      <c r="K938" s="11">
        <f t="shared" si="29"/>
        <v>0.28870000000000001</v>
      </c>
      <c r="L938" t="str">
        <f>VLOOKUP(C938,Customers!$A$2:$F$1001,2,FALSE())</f>
        <v>Donald Nguyen</v>
      </c>
      <c r="M938" t="str">
        <f>VLOOKUP(C938,Customers!$A$2:$F$1001,3,FALSE())</f>
        <v>South</v>
      </c>
      <c r="N938" t="str">
        <f>VLOOKUP(C938,Customers!$A$2:$F$1001,4,FALSE())</f>
        <v>Consumer</v>
      </c>
    </row>
    <row r="939" spans="1:14" x14ac:dyDescent="0.25">
      <c r="A939">
        <v>938</v>
      </c>
      <c r="B939" t="s">
        <v>2106</v>
      </c>
      <c r="C939" t="s">
        <v>1693</v>
      </c>
      <c r="D939" t="s">
        <v>1814</v>
      </c>
      <c r="E939">
        <v>4</v>
      </c>
      <c r="F939">
        <v>50</v>
      </c>
      <c r="G939">
        <v>200</v>
      </c>
      <c r="H939" s="9">
        <v>0.1</v>
      </c>
      <c r="I939">
        <v>31.21</v>
      </c>
      <c r="J939" s="10">
        <f t="shared" si="28"/>
        <v>11</v>
      </c>
      <c r="K939" s="11">
        <f t="shared" si="29"/>
        <v>0.15604999999999999</v>
      </c>
      <c r="L939" t="str">
        <f>VLOOKUP(C939,Customers!$A$2:$F$1001,2,FALSE())</f>
        <v>Christopher Jones</v>
      </c>
      <c r="M939" t="str">
        <f>VLOOKUP(C939,Customers!$A$2:$F$1001,3,FALSE())</f>
        <v>East</v>
      </c>
      <c r="N939" t="str">
        <f>VLOOKUP(C939,Customers!$A$2:$F$1001,4,FALSE())</f>
        <v>Consumer</v>
      </c>
    </row>
    <row r="940" spans="1:14" x14ac:dyDescent="0.25">
      <c r="A940">
        <v>939</v>
      </c>
      <c r="B940" t="s">
        <v>2058</v>
      </c>
      <c r="C940" t="s">
        <v>1695</v>
      </c>
      <c r="D940" t="s">
        <v>1816</v>
      </c>
      <c r="E940">
        <v>1</v>
      </c>
      <c r="F940">
        <v>300</v>
      </c>
      <c r="G940">
        <v>300</v>
      </c>
      <c r="H940" s="9">
        <v>0.05</v>
      </c>
      <c r="I940">
        <v>35.119999999999997</v>
      </c>
      <c r="J940" s="10">
        <f t="shared" si="28"/>
        <v>12</v>
      </c>
      <c r="K940" s="11">
        <f t="shared" si="29"/>
        <v>0.11706666666666665</v>
      </c>
      <c r="L940" t="str">
        <f>VLOOKUP(C940,Customers!$A$2:$F$1001,2,FALSE())</f>
        <v>Barbara Scott</v>
      </c>
      <c r="M940" t="str">
        <f>VLOOKUP(C940,Customers!$A$2:$F$1001,3,FALSE())</f>
        <v>North</v>
      </c>
      <c r="N940" t="str">
        <f>VLOOKUP(C940,Customers!$A$2:$F$1001,4,FALSE())</f>
        <v>Consumer</v>
      </c>
    </row>
    <row r="941" spans="1:14" x14ac:dyDescent="0.25">
      <c r="A941">
        <v>940</v>
      </c>
      <c r="B941" t="s">
        <v>1999</v>
      </c>
      <c r="C941" t="s">
        <v>1696</v>
      </c>
      <c r="D941" t="s">
        <v>1816</v>
      </c>
      <c r="E941">
        <v>1</v>
      </c>
      <c r="F941">
        <v>30</v>
      </c>
      <c r="G941">
        <v>30</v>
      </c>
      <c r="H941" s="9">
        <v>0</v>
      </c>
      <c r="I941">
        <v>5.07</v>
      </c>
      <c r="J941" s="10">
        <f t="shared" si="28"/>
        <v>1</v>
      </c>
      <c r="K941" s="11">
        <f t="shared" si="29"/>
        <v>0.16900000000000001</v>
      </c>
      <c r="L941" t="str">
        <f>VLOOKUP(C941,Customers!$A$2:$F$1001,2,FALSE())</f>
        <v>Andrew Jones</v>
      </c>
      <c r="M941" t="str">
        <f>VLOOKUP(C941,Customers!$A$2:$F$1001,3,FALSE())</f>
        <v>North</v>
      </c>
      <c r="N941" t="str">
        <f>VLOOKUP(C941,Customers!$A$2:$F$1001,4,FALSE())</f>
        <v>Consumer</v>
      </c>
    </row>
    <row r="942" spans="1:14" x14ac:dyDescent="0.25">
      <c r="A942">
        <v>941</v>
      </c>
      <c r="B942" t="s">
        <v>2123</v>
      </c>
      <c r="C942" t="s">
        <v>1697</v>
      </c>
      <c r="D942" t="s">
        <v>1814</v>
      </c>
      <c r="E942">
        <v>2</v>
      </c>
      <c r="F942">
        <v>25</v>
      </c>
      <c r="G942">
        <v>50</v>
      </c>
      <c r="H942" s="9">
        <v>0</v>
      </c>
      <c r="I942">
        <v>11.39</v>
      </c>
      <c r="J942" s="10">
        <f t="shared" si="28"/>
        <v>3</v>
      </c>
      <c r="K942" s="11">
        <f t="shared" si="29"/>
        <v>0.2278</v>
      </c>
      <c r="L942" t="str">
        <f>VLOOKUP(C942,Customers!$A$2:$F$1001,2,FALSE())</f>
        <v>Karen Hernandez</v>
      </c>
      <c r="M942" t="str">
        <f>VLOOKUP(C942,Customers!$A$2:$F$1001,3,FALSE())</f>
        <v>North</v>
      </c>
      <c r="N942" t="str">
        <f>VLOOKUP(C942,Customers!$A$2:$F$1001,4,FALSE())</f>
        <v>Home Office</v>
      </c>
    </row>
    <row r="943" spans="1:14" x14ac:dyDescent="0.25">
      <c r="A943">
        <v>942</v>
      </c>
      <c r="B943" t="s">
        <v>2067</v>
      </c>
      <c r="C943" t="s">
        <v>1699</v>
      </c>
      <c r="D943" t="s">
        <v>1814</v>
      </c>
      <c r="E943">
        <v>3</v>
      </c>
      <c r="F943">
        <v>500</v>
      </c>
      <c r="G943">
        <v>1500</v>
      </c>
      <c r="H943" s="9">
        <v>0</v>
      </c>
      <c r="I943">
        <v>376.1</v>
      </c>
      <c r="J943" s="10">
        <f t="shared" si="28"/>
        <v>3</v>
      </c>
      <c r="K943" s="11">
        <f t="shared" si="29"/>
        <v>0.25073333333333336</v>
      </c>
      <c r="L943" t="str">
        <f>VLOOKUP(C943,Customers!$A$2:$F$1001,2,FALSE())</f>
        <v>David King</v>
      </c>
      <c r="M943" t="str">
        <f>VLOOKUP(C943,Customers!$A$2:$F$1001,3,FALSE())</f>
        <v>South</v>
      </c>
      <c r="N943" t="str">
        <f>VLOOKUP(C943,Customers!$A$2:$F$1001,4,FALSE())</f>
        <v>Consumer</v>
      </c>
    </row>
    <row r="944" spans="1:14" x14ac:dyDescent="0.25">
      <c r="A944">
        <v>943</v>
      </c>
      <c r="B944" t="s">
        <v>2044</v>
      </c>
      <c r="C944" t="s">
        <v>1700</v>
      </c>
      <c r="D944" t="s">
        <v>1814</v>
      </c>
      <c r="E944">
        <v>4</v>
      </c>
      <c r="F944">
        <v>300</v>
      </c>
      <c r="G944">
        <v>1200</v>
      </c>
      <c r="H944" s="9">
        <v>0</v>
      </c>
      <c r="I944">
        <v>288.43</v>
      </c>
      <c r="J944" s="10">
        <f t="shared" si="28"/>
        <v>10</v>
      </c>
      <c r="K944" s="11">
        <f t="shared" si="29"/>
        <v>0.24035833333333334</v>
      </c>
      <c r="L944" t="str">
        <f>VLOOKUP(C944,Customers!$A$2:$F$1001,2,FALSE())</f>
        <v>Donald Davis</v>
      </c>
      <c r="M944" t="str">
        <f>VLOOKUP(C944,Customers!$A$2:$F$1001,3,FALSE())</f>
        <v>South</v>
      </c>
      <c r="N944" t="str">
        <f>VLOOKUP(C944,Customers!$A$2:$F$1001,4,FALSE())</f>
        <v>Home Office</v>
      </c>
    </row>
    <row r="945" spans="1:14" x14ac:dyDescent="0.25">
      <c r="A945">
        <v>944</v>
      </c>
      <c r="B945" t="s">
        <v>2098</v>
      </c>
      <c r="C945" t="s">
        <v>1702</v>
      </c>
      <c r="D945" t="s">
        <v>1814</v>
      </c>
      <c r="E945">
        <v>2</v>
      </c>
      <c r="F945">
        <v>25</v>
      </c>
      <c r="G945">
        <v>50</v>
      </c>
      <c r="H945" s="9">
        <v>0.1</v>
      </c>
      <c r="I945">
        <v>6.2</v>
      </c>
      <c r="J945" s="10">
        <f t="shared" si="28"/>
        <v>6</v>
      </c>
      <c r="K945" s="11">
        <f t="shared" si="29"/>
        <v>0.124</v>
      </c>
      <c r="L945" t="str">
        <f>VLOOKUP(C945,Customers!$A$2:$F$1001,2,FALSE())</f>
        <v>Steven Taylor</v>
      </c>
      <c r="M945" t="str">
        <f>VLOOKUP(C945,Customers!$A$2:$F$1001,3,FALSE())</f>
        <v>North</v>
      </c>
      <c r="N945" t="str">
        <f>VLOOKUP(C945,Customers!$A$2:$F$1001,4,FALSE())</f>
        <v>Consumer</v>
      </c>
    </row>
    <row r="946" spans="1:14" x14ac:dyDescent="0.25">
      <c r="A946">
        <v>945</v>
      </c>
      <c r="B946" t="s">
        <v>1960</v>
      </c>
      <c r="C946" t="s">
        <v>1704</v>
      </c>
      <c r="D946" t="s">
        <v>1812</v>
      </c>
      <c r="E946">
        <v>1</v>
      </c>
      <c r="F946">
        <v>25</v>
      </c>
      <c r="G946">
        <v>25</v>
      </c>
      <c r="H946" s="9">
        <v>0</v>
      </c>
      <c r="I946">
        <v>10.28</v>
      </c>
      <c r="J946" s="10">
        <f t="shared" si="28"/>
        <v>2</v>
      </c>
      <c r="K946" s="11">
        <f t="shared" si="29"/>
        <v>0.41119999999999995</v>
      </c>
      <c r="L946" t="str">
        <f>VLOOKUP(C946,Customers!$A$2:$F$1001,2,FALSE())</f>
        <v>Patricia Moore</v>
      </c>
      <c r="M946" t="str">
        <f>VLOOKUP(C946,Customers!$A$2:$F$1001,3,FALSE())</f>
        <v>West</v>
      </c>
      <c r="N946" t="str">
        <f>VLOOKUP(C946,Customers!$A$2:$F$1001,4,FALSE())</f>
        <v>Consumer</v>
      </c>
    </row>
    <row r="947" spans="1:14" x14ac:dyDescent="0.25">
      <c r="A947">
        <v>946</v>
      </c>
      <c r="B947" t="s">
        <v>2007</v>
      </c>
      <c r="C947" t="s">
        <v>1706</v>
      </c>
      <c r="D947" t="s">
        <v>1816</v>
      </c>
      <c r="E947">
        <v>4</v>
      </c>
      <c r="F947">
        <v>500</v>
      </c>
      <c r="G947">
        <v>2000</v>
      </c>
      <c r="H947" s="9">
        <v>0.2</v>
      </c>
      <c r="I947">
        <v>-100</v>
      </c>
      <c r="J947" s="10">
        <f t="shared" si="28"/>
        <v>5</v>
      </c>
      <c r="K947" s="11">
        <f t="shared" si="29"/>
        <v>-0.05</v>
      </c>
      <c r="L947" t="str">
        <f>VLOOKUP(C947,Customers!$A$2:$F$1001,2,FALSE())</f>
        <v>Elizabeth Martinez</v>
      </c>
      <c r="M947" t="str">
        <f>VLOOKUP(C947,Customers!$A$2:$F$1001,3,FALSE())</f>
        <v>West</v>
      </c>
      <c r="N947" t="str">
        <f>VLOOKUP(C947,Customers!$A$2:$F$1001,4,FALSE())</f>
        <v>Consumer</v>
      </c>
    </row>
    <row r="948" spans="1:14" x14ac:dyDescent="0.25">
      <c r="A948">
        <v>947</v>
      </c>
      <c r="B948" t="s">
        <v>2154</v>
      </c>
      <c r="C948" t="s">
        <v>1708</v>
      </c>
      <c r="D948" t="s">
        <v>1812</v>
      </c>
      <c r="E948">
        <v>1</v>
      </c>
      <c r="F948">
        <v>300</v>
      </c>
      <c r="G948">
        <v>300</v>
      </c>
      <c r="H948" s="9">
        <v>0</v>
      </c>
      <c r="I948">
        <v>102.89</v>
      </c>
      <c r="J948" s="10">
        <f t="shared" si="28"/>
        <v>3</v>
      </c>
      <c r="K948" s="11">
        <f t="shared" si="29"/>
        <v>0.34296666666666664</v>
      </c>
      <c r="L948" t="str">
        <f>VLOOKUP(C948,Customers!$A$2:$F$1001,2,FALSE())</f>
        <v>Carol Lewis</v>
      </c>
      <c r="M948" t="str">
        <f>VLOOKUP(C948,Customers!$A$2:$F$1001,3,FALSE())</f>
        <v>North</v>
      </c>
      <c r="N948" t="str">
        <f>VLOOKUP(C948,Customers!$A$2:$F$1001,4,FALSE())</f>
        <v>Consumer</v>
      </c>
    </row>
    <row r="949" spans="1:14" x14ac:dyDescent="0.25">
      <c r="A949">
        <v>948</v>
      </c>
      <c r="B949" t="s">
        <v>1895</v>
      </c>
      <c r="C949" t="s">
        <v>1709</v>
      </c>
      <c r="D949" t="s">
        <v>1816</v>
      </c>
      <c r="E949">
        <v>3</v>
      </c>
      <c r="F949">
        <v>25</v>
      </c>
      <c r="G949">
        <v>75</v>
      </c>
      <c r="H949" s="9">
        <v>0</v>
      </c>
      <c r="I949">
        <v>13.98</v>
      </c>
      <c r="J949" s="10">
        <f t="shared" si="28"/>
        <v>10</v>
      </c>
      <c r="K949" s="11">
        <f t="shared" si="29"/>
        <v>0.18640000000000001</v>
      </c>
      <c r="L949" t="str">
        <f>VLOOKUP(C949,Customers!$A$2:$F$1001,2,FALSE())</f>
        <v>Michael Wright</v>
      </c>
      <c r="M949" t="str">
        <f>VLOOKUP(C949,Customers!$A$2:$F$1001,3,FALSE())</f>
        <v>West</v>
      </c>
      <c r="N949" t="str">
        <f>VLOOKUP(C949,Customers!$A$2:$F$1001,4,FALSE())</f>
        <v>Corporate</v>
      </c>
    </row>
    <row r="950" spans="1:14" x14ac:dyDescent="0.25">
      <c r="A950">
        <v>949</v>
      </c>
      <c r="B950" t="s">
        <v>2155</v>
      </c>
      <c r="C950" t="s">
        <v>1710</v>
      </c>
      <c r="D950" t="s">
        <v>1816</v>
      </c>
      <c r="E950">
        <v>2</v>
      </c>
      <c r="F950">
        <v>25</v>
      </c>
      <c r="G950">
        <v>50</v>
      </c>
      <c r="H950" s="9">
        <v>0.15</v>
      </c>
      <c r="I950">
        <v>-2.5</v>
      </c>
      <c r="J950" s="10">
        <f t="shared" si="28"/>
        <v>8</v>
      </c>
      <c r="K950" s="11">
        <f t="shared" si="29"/>
        <v>-0.05</v>
      </c>
      <c r="L950" t="str">
        <f>VLOOKUP(C950,Customers!$A$2:$F$1001,2,FALSE())</f>
        <v>Mark Wright</v>
      </c>
      <c r="M950" t="str">
        <f>VLOOKUP(C950,Customers!$A$2:$F$1001,3,FALSE())</f>
        <v>North</v>
      </c>
      <c r="N950" t="str">
        <f>VLOOKUP(C950,Customers!$A$2:$F$1001,4,FALSE())</f>
        <v>Home Office</v>
      </c>
    </row>
    <row r="951" spans="1:14" x14ac:dyDescent="0.25">
      <c r="A951">
        <v>950</v>
      </c>
      <c r="B951" t="s">
        <v>1969</v>
      </c>
      <c r="C951" t="s">
        <v>1712</v>
      </c>
      <c r="D951" t="s">
        <v>1814</v>
      </c>
      <c r="E951">
        <v>3</v>
      </c>
      <c r="F951">
        <v>300</v>
      </c>
      <c r="G951">
        <v>900</v>
      </c>
      <c r="H951" s="9">
        <v>0</v>
      </c>
      <c r="I951">
        <v>207.62</v>
      </c>
      <c r="J951" s="10">
        <f t="shared" si="28"/>
        <v>11</v>
      </c>
      <c r="K951" s="11">
        <f t="shared" si="29"/>
        <v>0.23068888888888889</v>
      </c>
      <c r="L951" t="str">
        <f>VLOOKUP(C951,Customers!$A$2:$F$1001,2,FALSE())</f>
        <v>Donna Wilson</v>
      </c>
      <c r="M951" t="str">
        <f>VLOOKUP(C951,Customers!$A$2:$F$1001,3,FALSE())</f>
        <v>West</v>
      </c>
      <c r="N951" t="str">
        <f>VLOOKUP(C951,Customers!$A$2:$F$1001,4,FALSE())</f>
        <v>Home Office</v>
      </c>
    </row>
    <row r="952" spans="1:14" x14ac:dyDescent="0.25">
      <c r="A952">
        <v>951</v>
      </c>
      <c r="B952" t="s">
        <v>1927</v>
      </c>
      <c r="C952" t="s">
        <v>1713</v>
      </c>
      <c r="D952" t="s">
        <v>1812</v>
      </c>
      <c r="E952">
        <v>2</v>
      </c>
      <c r="F952">
        <v>50</v>
      </c>
      <c r="G952">
        <v>100</v>
      </c>
      <c r="H952" s="9">
        <v>0.05</v>
      </c>
      <c r="I952">
        <v>27.41</v>
      </c>
      <c r="J952" s="10">
        <f t="shared" si="28"/>
        <v>11</v>
      </c>
      <c r="K952" s="11">
        <f t="shared" si="29"/>
        <v>0.27410000000000001</v>
      </c>
      <c r="L952" t="str">
        <f>VLOOKUP(C952,Customers!$A$2:$F$1001,2,FALSE())</f>
        <v>Anthony Perez</v>
      </c>
      <c r="M952" t="str">
        <f>VLOOKUP(C952,Customers!$A$2:$F$1001,3,FALSE())</f>
        <v>West</v>
      </c>
      <c r="N952" t="str">
        <f>VLOOKUP(C952,Customers!$A$2:$F$1001,4,FALSE())</f>
        <v>Consumer</v>
      </c>
    </row>
    <row r="953" spans="1:14" x14ac:dyDescent="0.25">
      <c r="A953">
        <v>952</v>
      </c>
      <c r="B953" t="s">
        <v>1866</v>
      </c>
      <c r="C953" t="s">
        <v>1715</v>
      </c>
      <c r="D953" t="s">
        <v>1814</v>
      </c>
      <c r="E953">
        <v>1</v>
      </c>
      <c r="F953">
        <v>25</v>
      </c>
      <c r="G953">
        <v>25</v>
      </c>
      <c r="H953" s="9">
        <v>0.2</v>
      </c>
      <c r="I953">
        <v>0.08</v>
      </c>
      <c r="J953" s="10">
        <f t="shared" si="28"/>
        <v>11</v>
      </c>
      <c r="K953" s="11">
        <f t="shared" si="29"/>
        <v>3.2000000000000002E-3</v>
      </c>
      <c r="L953" t="str">
        <f>VLOOKUP(C953,Customers!$A$2:$F$1001,2,FALSE())</f>
        <v>Emily Martinez</v>
      </c>
      <c r="M953" t="str">
        <f>VLOOKUP(C953,Customers!$A$2:$F$1001,3,FALSE())</f>
        <v>North</v>
      </c>
      <c r="N953" t="str">
        <f>VLOOKUP(C953,Customers!$A$2:$F$1001,4,FALSE())</f>
        <v>Corporate</v>
      </c>
    </row>
    <row r="954" spans="1:14" x14ac:dyDescent="0.25">
      <c r="A954">
        <v>953</v>
      </c>
      <c r="B954" t="s">
        <v>1978</v>
      </c>
      <c r="C954" t="s">
        <v>1717</v>
      </c>
      <c r="D954" t="s">
        <v>1812</v>
      </c>
      <c r="E954">
        <v>3</v>
      </c>
      <c r="F954">
        <v>30</v>
      </c>
      <c r="G954">
        <v>90</v>
      </c>
      <c r="H954" s="9">
        <v>0.2</v>
      </c>
      <c r="I954">
        <v>5.59</v>
      </c>
      <c r="J954" s="10">
        <f t="shared" si="28"/>
        <v>4</v>
      </c>
      <c r="K954" s="11">
        <f t="shared" si="29"/>
        <v>6.211111111111111E-2</v>
      </c>
      <c r="L954" t="str">
        <f>VLOOKUP(C954,Customers!$A$2:$F$1001,2,FALSE())</f>
        <v>Thomas Martinez</v>
      </c>
      <c r="M954" t="str">
        <f>VLOOKUP(C954,Customers!$A$2:$F$1001,3,FALSE())</f>
        <v>East</v>
      </c>
      <c r="N954" t="str">
        <f>VLOOKUP(C954,Customers!$A$2:$F$1001,4,FALSE())</f>
        <v>Consumer</v>
      </c>
    </row>
    <row r="955" spans="1:14" x14ac:dyDescent="0.25">
      <c r="A955">
        <v>954</v>
      </c>
      <c r="B955" t="s">
        <v>2037</v>
      </c>
      <c r="C955" t="s">
        <v>1718</v>
      </c>
      <c r="D955" t="s">
        <v>1816</v>
      </c>
      <c r="E955">
        <v>3</v>
      </c>
      <c r="F955">
        <v>300</v>
      </c>
      <c r="G955">
        <v>900</v>
      </c>
      <c r="H955" s="9">
        <v>0.1</v>
      </c>
      <c r="I955">
        <v>43.07</v>
      </c>
      <c r="J955" s="10">
        <f t="shared" si="28"/>
        <v>9</v>
      </c>
      <c r="K955" s="11">
        <f t="shared" si="29"/>
        <v>4.7855555555555554E-2</v>
      </c>
      <c r="L955" t="str">
        <f>VLOOKUP(C955,Customers!$A$2:$F$1001,2,FALSE())</f>
        <v>Joseph Miller</v>
      </c>
      <c r="M955" t="str">
        <f>VLOOKUP(C955,Customers!$A$2:$F$1001,3,FALSE())</f>
        <v>West</v>
      </c>
      <c r="N955" t="str">
        <f>VLOOKUP(C955,Customers!$A$2:$F$1001,4,FALSE())</f>
        <v>Home Office</v>
      </c>
    </row>
    <row r="956" spans="1:14" x14ac:dyDescent="0.25">
      <c r="A956">
        <v>955</v>
      </c>
      <c r="B956" t="s">
        <v>1851</v>
      </c>
      <c r="C956" t="s">
        <v>1720</v>
      </c>
      <c r="D956" t="s">
        <v>1814</v>
      </c>
      <c r="E956">
        <v>1</v>
      </c>
      <c r="F956">
        <v>25</v>
      </c>
      <c r="G956">
        <v>25</v>
      </c>
      <c r="H956" s="9">
        <v>0</v>
      </c>
      <c r="I956">
        <v>6.75</v>
      </c>
      <c r="J956" s="10">
        <f t="shared" si="28"/>
        <v>7</v>
      </c>
      <c r="K956" s="11">
        <f t="shared" si="29"/>
        <v>0.27</v>
      </c>
      <c r="L956" t="str">
        <f>VLOOKUP(C956,Customers!$A$2:$F$1001,2,FALSE())</f>
        <v>Mary Nguyen</v>
      </c>
      <c r="M956" t="str">
        <f>VLOOKUP(C956,Customers!$A$2:$F$1001,3,FALSE())</f>
        <v>West</v>
      </c>
      <c r="N956" t="str">
        <f>VLOOKUP(C956,Customers!$A$2:$F$1001,4,FALSE())</f>
        <v>Corporate</v>
      </c>
    </row>
    <row r="957" spans="1:14" x14ac:dyDescent="0.25">
      <c r="A957">
        <v>956</v>
      </c>
      <c r="B957" t="s">
        <v>2118</v>
      </c>
      <c r="C957" t="s">
        <v>1722</v>
      </c>
      <c r="D957" t="s">
        <v>1814</v>
      </c>
      <c r="E957">
        <v>3</v>
      </c>
      <c r="F957">
        <v>500</v>
      </c>
      <c r="G957">
        <v>1500</v>
      </c>
      <c r="H957" s="9">
        <v>0.1</v>
      </c>
      <c r="I957">
        <v>217.88</v>
      </c>
      <c r="J957" s="10">
        <f t="shared" si="28"/>
        <v>8</v>
      </c>
      <c r="K957" s="11">
        <f t="shared" si="29"/>
        <v>0.14525333333333332</v>
      </c>
      <c r="L957" t="str">
        <f>VLOOKUP(C957,Customers!$A$2:$F$1001,2,FALSE())</f>
        <v>Patricia Scott</v>
      </c>
      <c r="M957" t="str">
        <f>VLOOKUP(C957,Customers!$A$2:$F$1001,3,FALSE())</f>
        <v>West</v>
      </c>
      <c r="N957" t="str">
        <f>VLOOKUP(C957,Customers!$A$2:$F$1001,4,FALSE())</f>
        <v>Consumer</v>
      </c>
    </row>
    <row r="958" spans="1:14" x14ac:dyDescent="0.25">
      <c r="A958">
        <v>957</v>
      </c>
      <c r="B958" t="s">
        <v>2010</v>
      </c>
      <c r="C958" t="s">
        <v>1724</v>
      </c>
      <c r="D958" t="s">
        <v>1816</v>
      </c>
      <c r="E958">
        <v>4</v>
      </c>
      <c r="F958">
        <v>30</v>
      </c>
      <c r="G958">
        <v>120</v>
      </c>
      <c r="H958" s="9">
        <v>0.25</v>
      </c>
      <c r="I958">
        <v>-6</v>
      </c>
      <c r="J958" s="10">
        <f t="shared" si="28"/>
        <v>8</v>
      </c>
      <c r="K958" s="11">
        <f t="shared" si="29"/>
        <v>-0.05</v>
      </c>
      <c r="L958" t="str">
        <f>VLOOKUP(C958,Customers!$A$2:$F$1001,2,FALSE())</f>
        <v>James Young</v>
      </c>
      <c r="M958" t="str">
        <f>VLOOKUP(C958,Customers!$A$2:$F$1001,3,FALSE())</f>
        <v>East</v>
      </c>
      <c r="N958" t="str">
        <f>VLOOKUP(C958,Customers!$A$2:$F$1001,4,FALSE())</f>
        <v>Consumer</v>
      </c>
    </row>
    <row r="959" spans="1:14" x14ac:dyDescent="0.25">
      <c r="A959">
        <v>958</v>
      </c>
      <c r="B959" t="s">
        <v>1946</v>
      </c>
      <c r="C959" t="s">
        <v>1726</v>
      </c>
      <c r="D959" t="s">
        <v>1816</v>
      </c>
      <c r="E959">
        <v>2</v>
      </c>
      <c r="F959">
        <v>25</v>
      </c>
      <c r="G959">
        <v>50</v>
      </c>
      <c r="H959" s="9">
        <v>0.2</v>
      </c>
      <c r="I959">
        <v>-2.5</v>
      </c>
      <c r="J959" s="10">
        <f t="shared" si="28"/>
        <v>6</v>
      </c>
      <c r="K959" s="11">
        <f t="shared" si="29"/>
        <v>-0.05</v>
      </c>
      <c r="L959" t="str">
        <f>VLOOKUP(C959,Customers!$A$2:$F$1001,2,FALSE())</f>
        <v>Thomas Lee</v>
      </c>
      <c r="M959" t="str">
        <f>VLOOKUP(C959,Customers!$A$2:$F$1001,3,FALSE())</f>
        <v>North</v>
      </c>
      <c r="N959" t="str">
        <f>VLOOKUP(C959,Customers!$A$2:$F$1001,4,FALSE())</f>
        <v>Consumer</v>
      </c>
    </row>
    <row r="960" spans="1:14" x14ac:dyDescent="0.25">
      <c r="A960">
        <v>959</v>
      </c>
      <c r="B960" t="s">
        <v>1842</v>
      </c>
      <c r="C960" t="s">
        <v>1727</v>
      </c>
      <c r="D960" t="s">
        <v>1816</v>
      </c>
      <c r="E960">
        <v>2</v>
      </c>
      <c r="F960">
        <v>30</v>
      </c>
      <c r="G960">
        <v>60</v>
      </c>
      <c r="H960" s="9">
        <v>0</v>
      </c>
      <c r="I960">
        <v>7.38</v>
      </c>
      <c r="J960" s="10">
        <f t="shared" si="28"/>
        <v>10</v>
      </c>
      <c r="K960" s="11">
        <f t="shared" si="29"/>
        <v>0.123</v>
      </c>
      <c r="L960" t="str">
        <f>VLOOKUP(C960,Customers!$A$2:$F$1001,2,FALSE())</f>
        <v>Joseph Martin</v>
      </c>
      <c r="M960" t="str">
        <f>VLOOKUP(C960,Customers!$A$2:$F$1001,3,FALSE())</f>
        <v>West</v>
      </c>
      <c r="N960" t="str">
        <f>VLOOKUP(C960,Customers!$A$2:$F$1001,4,FALSE())</f>
        <v>Consumer</v>
      </c>
    </row>
    <row r="961" spans="1:14" x14ac:dyDescent="0.25">
      <c r="A961">
        <v>960</v>
      </c>
      <c r="B961" t="s">
        <v>1916</v>
      </c>
      <c r="C961" t="s">
        <v>1729</v>
      </c>
      <c r="D961" t="s">
        <v>1814</v>
      </c>
      <c r="E961">
        <v>2</v>
      </c>
      <c r="F961">
        <v>30</v>
      </c>
      <c r="G961">
        <v>60</v>
      </c>
      <c r="H961" s="9">
        <v>0.05</v>
      </c>
      <c r="I961">
        <v>10.8</v>
      </c>
      <c r="J961" s="10">
        <f t="shared" si="28"/>
        <v>8</v>
      </c>
      <c r="K961" s="11">
        <f t="shared" si="29"/>
        <v>0.18000000000000002</v>
      </c>
      <c r="L961" t="str">
        <f>VLOOKUP(C961,Customers!$A$2:$F$1001,2,FALSE())</f>
        <v>Daniel Perez</v>
      </c>
      <c r="M961" t="str">
        <f>VLOOKUP(C961,Customers!$A$2:$F$1001,3,FALSE())</f>
        <v>East</v>
      </c>
      <c r="N961" t="str">
        <f>VLOOKUP(C961,Customers!$A$2:$F$1001,4,FALSE())</f>
        <v>Home Office</v>
      </c>
    </row>
    <row r="962" spans="1:14" x14ac:dyDescent="0.25">
      <c r="A962">
        <v>961</v>
      </c>
      <c r="B962" t="s">
        <v>2078</v>
      </c>
      <c r="C962" t="s">
        <v>1731</v>
      </c>
      <c r="D962" t="s">
        <v>1812</v>
      </c>
      <c r="E962">
        <v>4</v>
      </c>
      <c r="F962">
        <v>50</v>
      </c>
      <c r="G962">
        <v>200</v>
      </c>
      <c r="H962" s="9">
        <v>0.05</v>
      </c>
      <c r="I962">
        <v>70.92</v>
      </c>
      <c r="J962" s="10">
        <f t="shared" ref="J962:J1001" si="30">MONTH(B962)</f>
        <v>6</v>
      </c>
      <c r="K962" s="11">
        <f t="shared" ref="K962:K1001" si="31">IF(G962=0,0,I962/G962)</f>
        <v>0.35460000000000003</v>
      </c>
      <c r="L962" t="str">
        <f>VLOOKUP(C962,Customers!$A$2:$F$1001,2,FALSE())</f>
        <v>Karen Perez</v>
      </c>
      <c r="M962" t="str">
        <f>VLOOKUP(C962,Customers!$A$2:$F$1001,3,FALSE())</f>
        <v>East</v>
      </c>
      <c r="N962" t="str">
        <f>VLOOKUP(C962,Customers!$A$2:$F$1001,4,FALSE())</f>
        <v>Corporate</v>
      </c>
    </row>
    <row r="963" spans="1:14" x14ac:dyDescent="0.25">
      <c r="A963">
        <v>962</v>
      </c>
      <c r="B963" t="s">
        <v>2032</v>
      </c>
      <c r="C963" t="s">
        <v>1733</v>
      </c>
      <c r="D963" t="s">
        <v>1814</v>
      </c>
      <c r="E963">
        <v>2</v>
      </c>
      <c r="F963">
        <v>30</v>
      </c>
      <c r="G963">
        <v>60</v>
      </c>
      <c r="H963" s="9">
        <v>0</v>
      </c>
      <c r="I963">
        <v>15.17</v>
      </c>
      <c r="J963" s="10">
        <f t="shared" si="30"/>
        <v>10</v>
      </c>
      <c r="K963" s="11">
        <f t="shared" si="31"/>
        <v>0.25283333333333335</v>
      </c>
      <c r="L963" t="str">
        <f>VLOOKUP(C963,Customers!$A$2:$F$1001,2,FALSE())</f>
        <v>Dorothy Moore</v>
      </c>
      <c r="M963" t="str">
        <f>VLOOKUP(C963,Customers!$A$2:$F$1001,3,FALSE())</f>
        <v>South</v>
      </c>
      <c r="N963" t="str">
        <f>VLOOKUP(C963,Customers!$A$2:$F$1001,4,FALSE())</f>
        <v>Home Office</v>
      </c>
    </row>
    <row r="964" spans="1:14" x14ac:dyDescent="0.25">
      <c r="A964">
        <v>963</v>
      </c>
      <c r="B964" t="s">
        <v>2034</v>
      </c>
      <c r="C964" t="s">
        <v>1735</v>
      </c>
      <c r="D964" t="s">
        <v>1812</v>
      </c>
      <c r="E964">
        <v>1</v>
      </c>
      <c r="F964">
        <v>50</v>
      </c>
      <c r="G964">
        <v>50</v>
      </c>
      <c r="H964" s="9">
        <v>0.1</v>
      </c>
      <c r="I964">
        <v>9.7200000000000006</v>
      </c>
      <c r="J964" s="10">
        <f t="shared" si="30"/>
        <v>11</v>
      </c>
      <c r="K964" s="11">
        <f t="shared" si="31"/>
        <v>0.19440000000000002</v>
      </c>
      <c r="L964" t="str">
        <f>VLOOKUP(C964,Customers!$A$2:$F$1001,2,FALSE())</f>
        <v>Charles Garcia</v>
      </c>
      <c r="M964" t="str">
        <f>VLOOKUP(C964,Customers!$A$2:$F$1001,3,FALSE())</f>
        <v>East</v>
      </c>
      <c r="N964" t="str">
        <f>VLOOKUP(C964,Customers!$A$2:$F$1001,4,FALSE())</f>
        <v>Consumer</v>
      </c>
    </row>
    <row r="965" spans="1:14" x14ac:dyDescent="0.25">
      <c r="A965">
        <v>964</v>
      </c>
      <c r="B965" t="s">
        <v>1983</v>
      </c>
      <c r="C965" t="s">
        <v>1737</v>
      </c>
      <c r="D965" t="s">
        <v>1814</v>
      </c>
      <c r="E965">
        <v>3</v>
      </c>
      <c r="F965">
        <v>300</v>
      </c>
      <c r="G965">
        <v>900</v>
      </c>
      <c r="H965" s="9">
        <v>0</v>
      </c>
      <c r="I965">
        <v>229.87</v>
      </c>
      <c r="J965" s="10">
        <f t="shared" si="30"/>
        <v>1</v>
      </c>
      <c r="K965" s="11">
        <f t="shared" si="31"/>
        <v>0.25541111111111109</v>
      </c>
      <c r="L965" t="str">
        <f>VLOOKUP(C965,Customers!$A$2:$F$1001,2,FALSE())</f>
        <v>Sarah Garcia</v>
      </c>
      <c r="M965" t="str">
        <f>VLOOKUP(C965,Customers!$A$2:$F$1001,3,FALSE())</f>
        <v>North</v>
      </c>
      <c r="N965" t="str">
        <f>VLOOKUP(C965,Customers!$A$2:$F$1001,4,FALSE())</f>
        <v>Corporate</v>
      </c>
    </row>
    <row r="966" spans="1:14" x14ac:dyDescent="0.25">
      <c r="A966">
        <v>965</v>
      </c>
      <c r="B966" t="s">
        <v>2103</v>
      </c>
      <c r="C966" t="s">
        <v>1738</v>
      </c>
      <c r="D966" t="s">
        <v>1814</v>
      </c>
      <c r="E966">
        <v>4</v>
      </c>
      <c r="F966">
        <v>50</v>
      </c>
      <c r="G966">
        <v>200</v>
      </c>
      <c r="H966" s="9">
        <v>0.05</v>
      </c>
      <c r="I966">
        <v>29.89</v>
      </c>
      <c r="J966" s="10">
        <f t="shared" si="30"/>
        <v>11</v>
      </c>
      <c r="K966" s="11">
        <f t="shared" si="31"/>
        <v>0.14945</v>
      </c>
      <c r="L966" t="str">
        <f>VLOOKUP(C966,Customers!$A$2:$F$1001,2,FALSE())</f>
        <v>Elizabeth Hill</v>
      </c>
      <c r="M966" t="str">
        <f>VLOOKUP(C966,Customers!$A$2:$F$1001,3,FALSE())</f>
        <v>East</v>
      </c>
      <c r="N966" t="str">
        <f>VLOOKUP(C966,Customers!$A$2:$F$1001,4,FALSE())</f>
        <v>Consumer</v>
      </c>
    </row>
    <row r="967" spans="1:14" x14ac:dyDescent="0.25">
      <c r="A967">
        <v>966</v>
      </c>
      <c r="B967" t="s">
        <v>2003</v>
      </c>
      <c r="C967" t="s">
        <v>1740</v>
      </c>
      <c r="D967" t="s">
        <v>1816</v>
      </c>
      <c r="E967">
        <v>2</v>
      </c>
      <c r="F967">
        <v>500</v>
      </c>
      <c r="G967">
        <v>1000</v>
      </c>
      <c r="H967" s="9">
        <v>0</v>
      </c>
      <c r="I967">
        <v>114.03</v>
      </c>
      <c r="J967" s="10">
        <f t="shared" si="30"/>
        <v>2</v>
      </c>
      <c r="K967" s="11">
        <f t="shared" si="31"/>
        <v>0.11403000000000001</v>
      </c>
      <c r="L967" t="str">
        <f>VLOOKUP(C967,Customers!$A$2:$F$1001,2,FALSE())</f>
        <v>John Martin</v>
      </c>
      <c r="M967" t="str">
        <f>VLOOKUP(C967,Customers!$A$2:$F$1001,3,FALSE())</f>
        <v>North</v>
      </c>
      <c r="N967" t="str">
        <f>VLOOKUP(C967,Customers!$A$2:$F$1001,4,FALSE())</f>
        <v>Corporate</v>
      </c>
    </row>
    <row r="968" spans="1:14" x14ac:dyDescent="0.25">
      <c r="A968">
        <v>967</v>
      </c>
      <c r="B968" t="s">
        <v>2156</v>
      </c>
      <c r="C968" t="s">
        <v>1742</v>
      </c>
      <c r="D968" t="s">
        <v>1812</v>
      </c>
      <c r="E968">
        <v>1</v>
      </c>
      <c r="F968">
        <v>25</v>
      </c>
      <c r="G968">
        <v>25</v>
      </c>
      <c r="H968" s="9">
        <v>0.05</v>
      </c>
      <c r="I968">
        <v>6.47</v>
      </c>
      <c r="J968" s="10">
        <f t="shared" si="30"/>
        <v>4</v>
      </c>
      <c r="K968" s="11">
        <f t="shared" si="31"/>
        <v>0.25879999999999997</v>
      </c>
      <c r="L968" t="str">
        <f>VLOOKUP(C968,Customers!$A$2:$F$1001,2,FALSE())</f>
        <v>Dorothy Hill</v>
      </c>
      <c r="M968" t="str">
        <f>VLOOKUP(C968,Customers!$A$2:$F$1001,3,FALSE())</f>
        <v>East</v>
      </c>
      <c r="N968" t="str">
        <f>VLOOKUP(C968,Customers!$A$2:$F$1001,4,FALSE())</f>
        <v>Consumer</v>
      </c>
    </row>
    <row r="969" spans="1:14" x14ac:dyDescent="0.25">
      <c r="A969">
        <v>968</v>
      </c>
      <c r="B969" t="s">
        <v>1945</v>
      </c>
      <c r="C969" t="s">
        <v>1744</v>
      </c>
      <c r="D969" t="s">
        <v>1814</v>
      </c>
      <c r="E969">
        <v>3</v>
      </c>
      <c r="F969">
        <v>300</v>
      </c>
      <c r="G969">
        <v>900</v>
      </c>
      <c r="H969" s="9">
        <v>0</v>
      </c>
      <c r="I969">
        <v>213</v>
      </c>
      <c r="J969" s="10">
        <f t="shared" si="30"/>
        <v>11</v>
      </c>
      <c r="K969" s="11">
        <f t="shared" si="31"/>
        <v>0.23666666666666666</v>
      </c>
      <c r="L969" t="str">
        <f>VLOOKUP(C969,Customers!$A$2:$F$1001,2,FALSE())</f>
        <v>Linda Miller</v>
      </c>
      <c r="M969" t="str">
        <f>VLOOKUP(C969,Customers!$A$2:$F$1001,3,FALSE())</f>
        <v>West</v>
      </c>
      <c r="N969" t="str">
        <f>VLOOKUP(C969,Customers!$A$2:$F$1001,4,FALSE())</f>
        <v>Consumer</v>
      </c>
    </row>
    <row r="970" spans="1:14" x14ac:dyDescent="0.25">
      <c r="A970">
        <v>969</v>
      </c>
      <c r="B970" t="s">
        <v>1904</v>
      </c>
      <c r="C970" t="s">
        <v>1746</v>
      </c>
      <c r="D970" t="s">
        <v>1814</v>
      </c>
      <c r="E970">
        <v>3</v>
      </c>
      <c r="F970">
        <v>300</v>
      </c>
      <c r="G970">
        <v>900</v>
      </c>
      <c r="H970" s="9">
        <v>0.05</v>
      </c>
      <c r="I970">
        <v>196.3</v>
      </c>
      <c r="J970" s="10">
        <f t="shared" si="30"/>
        <v>4</v>
      </c>
      <c r="K970" s="11">
        <f t="shared" si="31"/>
        <v>0.21811111111111112</v>
      </c>
      <c r="L970" t="str">
        <f>VLOOKUP(C970,Customers!$A$2:$F$1001,2,FALSE())</f>
        <v>Charles Thompson</v>
      </c>
      <c r="M970" t="str">
        <f>VLOOKUP(C970,Customers!$A$2:$F$1001,3,FALSE())</f>
        <v>South</v>
      </c>
      <c r="N970" t="str">
        <f>VLOOKUP(C970,Customers!$A$2:$F$1001,4,FALSE())</f>
        <v>Corporate</v>
      </c>
    </row>
    <row r="971" spans="1:14" x14ac:dyDescent="0.25">
      <c r="A971">
        <v>970</v>
      </c>
      <c r="B971" t="s">
        <v>1856</v>
      </c>
      <c r="C971" t="s">
        <v>1748</v>
      </c>
      <c r="D971" t="s">
        <v>1816</v>
      </c>
      <c r="E971">
        <v>4</v>
      </c>
      <c r="F971">
        <v>500</v>
      </c>
      <c r="G971">
        <v>2000</v>
      </c>
      <c r="H971" s="9">
        <v>0</v>
      </c>
      <c r="I971">
        <v>334.7</v>
      </c>
      <c r="J971" s="10">
        <f t="shared" si="30"/>
        <v>5</v>
      </c>
      <c r="K971" s="11">
        <f t="shared" si="31"/>
        <v>0.16735</v>
      </c>
      <c r="L971" t="str">
        <f>VLOOKUP(C971,Customers!$A$2:$F$1001,2,FALSE())</f>
        <v>Melissa Rodriguez</v>
      </c>
      <c r="M971" t="str">
        <f>VLOOKUP(C971,Customers!$A$2:$F$1001,3,FALSE())</f>
        <v>South</v>
      </c>
      <c r="N971" t="str">
        <f>VLOOKUP(C971,Customers!$A$2:$F$1001,4,FALSE())</f>
        <v>Consumer</v>
      </c>
    </row>
    <row r="972" spans="1:14" x14ac:dyDescent="0.25">
      <c r="A972">
        <v>971</v>
      </c>
      <c r="B972" t="s">
        <v>1873</v>
      </c>
      <c r="C972" t="s">
        <v>1750</v>
      </c>
      <c r="D972" t="s">
        <v>1816</v>
      </c>
      <c r="E972">
        <v>4</v>
      </c>
      <c r="F972">
        <v>50</v>
      </c>
      <c r="G972">
        <v>200</v>
      </c>
      <c r="H972" s="9">
        <v>0.2</v>
      </c>
      <c r="I972">
        <v>-10</v>
      </c>
      <c r="J972" s="10">
        <f t="shared" si="30"/>
        <v>12</v>
      </c>
      <c r="K972" s="11">
        <f t="shared" si="31"/>
        <v>-0.05</v>
      </c>
      <c r="L972" t="str">
        <f>VLOOKUP(C972,Customers!$A$2:$F$1001,2,FALSE())</f>
        <v>David Hernandez</v>
      </c>
      <c r="M972" t="str">
        <f>VLOOKUP(C972,Customers!$A$2:$F$1001,3,FALSE())</f>
        <v>South</v>
      </c>
      <c r="N972" t="str">
        <f>VLOOKUP(C972,Customers!$A$2:$F$1001,4,FALSE())</f>
        <v>Consumer</v>
      </c>
    </row>
    <row r="973" spans="1:14" x14ac:dyDescent="0.25">
      <c r="A973">
        <v>972</v>
      </c>
      <c r="B973" t="s">
        <v>2027</v>
      </c>
      <c r="C973" t="s">
        <v>1752</v>
      </c>
      <c r="D973" t="s">
        <v>1812</v>
      </c>
      <c r="E973">
        <v>4</v>
      </c>
      <c r="F973">
        <v>25</v>
      </c>
      <c r="G973">
        <v>100</v>
      </c>
      <c r="H973" s="9">
        <v>0</v>
      </c>
      <c r="I973">
        <v>31.7</v>
      </c>
      <c r="J973" s="10">
        <f t="shared" si="30"/>
        <v>2</v>
      </c>
      <c r="K973" s="11">
        <f t="shared" si="31"/>
        <v>0.317</v>
      </c>
      <c r="L973" t="str">
        <f>VLOOKUP(C973,Customers!$A$2:$F$1001,2,FALSE())</f>
        <v>Carol Johnson</v>
      </c>
      <c r="M973" t="str">
        <f>VLOOKUP(C973,Customers!$A$2:$F$1001,3,FALSE())</f>
        <v>West</v>
      </c>
      <c r="N973" t="str">
        <f>VLOOKUP(C973,Customers!$A$2:$F$1001,4,FALSE())</f>
        <v>Corporate</v>
      </c>
    </row>
    <row r="974" spans="1:14" x14ac:dyDescent="0.25">
      <c r="A974">
        <v>973</v>
      </c>
      <c r="B974" t="s">
        <v>1939</v>
      </c>
      <c r="C974" t="s">
        <v>1753</v>
      </c>
      <c r="D974" t="s">
        <v>1814</v>
      </c>
      <c r="E974">
        <v>1</v>
      </c>
      <c r="F974">
        <v>50</v>
      </c>
      <c r="G974">
        <v>50</v>
      </c>
      <c r="H974" s="9">
        <v>0.05</v>
      </c>
      <c r="I974">
        <v>8.69</v>
      </c>
      <c r="J974" s="10">
        <f t="shared" si="30"/>
        <v>3</v>
      </c>
      <c r="K974" s="11">
        <f t="shared" si="31"/>
        <v>0.17379999999999998</v>
      </c>
      <c r="L974" t="str">
        <f>VLOOKUP(C974,Customers!$A$2:$F$1001,2,FALSE())</f>
        <v>Karen Jones</v>
      </c>
      <c r="M974" t="str">
        <f>VLOOKUP(C974,Customers!$A$2:$F$1001,3,FALSE())</f>
        <v>East</v>
      </c>
      <c r="N974" t="str">
        <f>VLOOKUP(C974,Customers!$A$2:$F$1001,4,FALSE())</f>
        <v>Consumer</v>
      </c>
    </row>
    <row r="975" spans="1:14" x14ac:dyDescent="0.25">
      <c r="A975">
        <v>974</v>
      </c>
      <c r="B975" t="s">
        <v>1957</v>
      </c>
      <c r="C975" t="s">
        <v>1755</v>
      </c>
      <c r="D975" t="s">
        <v>1812</v>
      </c>
      <c r="E975">
        <v>1</v>
      </c>
      <c r="F975">
        <v>30</v>
      </c>
      <c r="G975">
        <v>30</v>
      </c>
      <c r="H975" s="9">
        <v>0</v>
      </c>
      <c r="I975">
        <v>10.74</v>
      </c>
      <c r="J975" s="10">
        <f t="shared" si="30"/>
        <v>5</v>
      </c>
      <c r="K975" s="11">
        <f t="shared" si="31"/>
        <v>0.35799999999999998</v>
      </c>
      <c r="L975" t="str">
        <f>VLOOKUP(C975,Customers!$A$2:$F$1001,2,FALSE())</f>
        <v>Linda Torres</v>
      </c>
      <c r="M975" t="str">
        <f>VLOOKUP(C975,Customers!$A$2:$F$1001,3,FALSE())</f>
        <v>South</v>
      </c>
      <c r="N975" t="str">
        <f>VLOOKUP(C975,Customers!$A$2:$F$1001,4,FALSE())</f>
        <v>Home Office</v>
      </c>
    </row>
    <row r="976" spans="1:14" x14ac:dyDescent="0.25">
      <c r="A976">
        <v>975</v>
      </c>
      <c r="B976" t="s">
        <v>2157</v>
      </c>
      <c r="C976" t="s">
        <v>1757</v>
      </c>
      <c r="D976" t="s">
        <v>1814</v>
      </c>
      <c r="E976">
        <v>4</v>
      </c>
      <c r="F976">
        <v>50</v>
      </c>
      <c r="G976">
        <v>200</v>
      </c>
      <c r="H976" s="9">
        <v>0</v>
      </c>
      <c r="I976">
        <v>46.23</v>
      </c>
      <c r="J976" s="10">
        <f t="shared" si="30"/>
        <v>3</v>
      </c>
      <c r="K976" s="11">
        <f t="shared" si="31"/>
        <v>0.23114999999999999</v>
      </c>
      <c r="L976" t="str">
        <f>VLOOKUP(C976,Customers!$A$2:$F$1001,2,FALSE())</f>
        <v>James Gonzalez</v>
      </c>
      <c r="M976" t="str">
        <f>VLOOKUP(C976,Customers!$A$2:$F$1001,3,FALSE())</f>
        <v>North</v>
      </c>
      <c r="N976" t="str">
        <f>VLOOKUP(C976,Customers!$A$2:$F$1001,4,FALSE())</f>
        <v>Corporate</v>
      </c>
    </row>
    <row r="977" spans="1:14" x14ac:dyDescent="0.25">
      <c r="A977">
        <v>976</v>
      </c>
      <c r="B977" t="s">
        <v>1863</v>
      </c>
      <c r="C977" t="s">
        <v>1758</v>
      </c>
      <c r="D977" t="s">
        <v>1812</v>
      </c>
      <c r="E977">
        <v>2</v>
      </c>
      <c r="F977">
        <v>300</v>
      </c>
      <c r="G977">
        <v>600</v>
      </c>
      <c r="H977" s="9">
        <v>0</v>
      </c>
      <c r="I977">
        <v>204.99</v>
      </c>
      <c r="J977" s="10">
        <f t="shared" si="30"/>
        <v>10</v>
      </c>
      <c r="K977" s="11">
        <f t="shared" si="31"/>
        <v>0.34165000000000001</v>
      </c>
      <c r="L977" t="str">
        <f>VLOOKUP(C977,Customers!$A$2:$F$1001,2,FALSE())</f>
        <v>Amanda Harris</v>
      </c>
      <c r="M977" t="str">
        <f>VLOOKUP(C977,Customers!$A$2:$F$1001,3,FALSE())</f>
        <v>North</v>
      </c>
      <c r="N977" t="str">
        <f>VLOOKUP(C977,Customers!$A$2:$F$1001,4,FALSE())</f>
        <v>Home Office</v>
      </c>
    </row>
    <row r="978" spans="1:14" x14ac:dyDescent="0.25">
      <c r="A978">
        <v>977</v>
      </c>
      <c r="B978" t="s">
        <v>2009</v>
      </c>
      <c r="C978" t="s">
        <v>1760</v>
      </c>
      <c r="D978" t="s">
        <v>1816</v>
      </c>
      <c r="E978">
        <v>3</v>
      </c>
      <c r="F978">
        <v>25</v>
      </c>
      <c r="G978">
        <v>75</v>
      </c>
      <c r="H978" s="9">
        <v>0</v>
      </c>
      <c r="I978">
        <v>12.24</v>
      </c>
      <c r="J978" s="10">
        <f t="shared" si="30"/>
        <v>2</v>
      </c>
      <c r="K978" s="11">
        <f t="shared" si="31"/>
        <v>0.16320000000000001</v>
      </c>
      <c r="L978" t="str">
        <f>VLOOKUP(C978,Customers!$A$2:$F$1001,2,FALSE())</f>
        <v>Patricia Jackson</v>
      </c>
      <c r="M978" t="str">
        <f>VLOOKUP(C978,Customers!$A$2:$F$1001,3,FALSE())</f>
        <v>South</v>
      </c>
      <c r="N978" t="str">
        <f>VLOOKUP(C978,Customers!$A$2:$F$1001,4,FALSE())</f>
        <v>Corporate</v>
      </c>
    </row>
    <row r="979" spans="1:14" x14ac:dyDescent="0.25">
      <c r="A979">
        <v>978</v>
      </c>
      <c r="B979" t="s">
        <v>1939</v>
      </c>
      <c r="C979" t="s">
        <v>1761</v>
      </c>
      <c r="D979" t="s">
        <v>1814</v>
      </c>
      <c r="E979">
        <v>3</v>
      </c>
      <c r="F979">
        <v>50</v>
      </c>
      <c r="G979">
        <v>150</v>
      </c>
      <c r="H979" s="9">
        <v>0</v>
      </c>
      <c r="I979">
        <v>35.93</v>
      </c>
      <c r="J979" s="10">
        <f t="shared" si="30"/>
        <v>3</v>
      </c>
      <c r="K979" s="11">
        <f t="shared" si="31"/>
        <v>0.23953333333333332</v>
      </c>
      <c r="L979" t="str">
        <f>VLOOKUP(C979,Customers!$A$2:$F$1001,2,FALSE())</f>
        <v>Edward Taylor</v>
      </c>
      <c r="M979" t="str">
        <f>VLOOKUP(C979,Customers!$A$2:$F$1001,3,FALSE())</f>
        <v>West</v>
      </c>
      <c r="N979" t="str">
        <f>VLOOKUP(C979,Customers!$A$2:$F$1001,4,FALSE())</f>
        <v>Corporate</v>
      </c>
    </row>
    <row r="980" spans="1:14" x14ac:dyDescent="0.25">
      <c r="A980">
        <v>979</v>
      </c>
      <c r="B980" t="s">
        <v>1940</v>
      </c>
      <c r="C980" t="s">
        <v>1762</v>
      </c>
      <c r="D980" t="s">
        <v>1812</v>
      </c>
      <c r="E980">
        <v>1</v>
      </c>
      <c r="F980">
        <v>25</v>
      </c>
      <c r="G980">
        <v>25</v>
      </c>
      <c r="H980" s="9">
        <v>0.05</v>
      </c>
      <c r="I980">
        <v>7.42</v>
      </c>
      <c r="J980" s="10">
        <f t="shared" si="30"/>
        <v>1</v>
      </c>
      <c r="K980" s="11">
        <f t="shared" si="31"/>
        <v>0.29680000000000001</v>
      </c>
      <c r="L980" t="str">
        <f>VLOOKUP(C980,Customers!$A$2:$F$1001,2,FALSE())</f>
        <v>Anthony Perez</v>
      </c>
      <c r="M980" t="str">
        <f>VLOOKUP(C980,Customers!$A$2:$F$1001,3,FALSE())</f>
        <v>East</v>
      </c>
      <c r="N980" t="str">
        <f>VLOOKUP(C980,Customers!$A$2:$F$1001,4,FALSE())</f>
        <v>Corporate</v>
      </c>
    </row>
    <row r="981" spans="1:14" x14ac:dyDescent="0.25">
      <c r="A981">
        <v>980</v>
      </c>
      <c r="B981" t="s">
        <v>2091</v>
      </c>
      <c r="C981" t="s">
        <v>1763</v>
      </c>
      <c r="D981" t="s">
        <v>1816</v>
      </c>
      <c r="E981">
        <v>3</v>
      </c>
      <c r="F981">
        <v>25</v>
      </c>
      <c r="G981">
        <v>75</v>
      </c>
      <c r="H981" s="9">
        <v>0.1</v>
      </c>
      <c r="I981">
        <v>5.83</v>
      </c>
      <c r="J981" s="10">
        <f t="shared" si="30"/>
        <v>7</v>
      </c>
      <c r="K981" s="11">
        <f t="shared" si="31"/>
        <v>7.7733333333333335E-2</v>
      </c>
      <c r="L981" t="str">
        <f>VLOOKUP(C981,Customers!$A$2:$F$1001,2,FALSE())</f>
        <v>Kimberly Davis</v>
      </c>
      <c r="M981" t="str">
        <f>VLOOKUP(C981,Customers!$A$2:$F$1001,3,FALSE())</f>
        <v>North</v>
      </c>
      <c r="N981" t="str">
        <f>VLOOKUP(C981,Customers!$A$2:$F$1001,4,FALSE())</f>
        <v>Home Office</v>
      </c>
    </row>
    <row r="982" spans="1:14" x14ac:dyDescent="0.25">
      <c r="A982">
        <v>981</v>
      </c>
      <c r="B982" t="s">
        <v>2118</v>
      </c>
      <c r="C982" t="s">
        <v>1765</v>
      </c>
      <c r="D982" t="s">
        <v>1816</v>
      </c>
      <c r="E982">
        <v>2</v>
      </c>
      <c r="F982">
        <v>30</v>
      </c>
      <c r="G982">
        <v>60</v>
      </c>
      <c r="H982" s="9">
        <v>0</v>
      </c>
      <c r="I982">
        <v>8.69</v>
      </c>
      <c r="J982" s="10">
        <f t="shared" si="30"/>
        <v>8</v>
      </c>
      <c r="K982" s="11">
        <f t="shared" si="31"/>
        <v>0.14483333333333331</v>
      </c>
      <c r="L982" t="str">
        <f>VLOOKUP(C982,Customers!$A$2:$F$1001,2,FALSE())</f>
        <v>Dorothy Flores</v>
      </c>
      <c r="M982" t="str">
        <f>VLOOKUP(C982,Customers!$A$2:$F$1001,3,FALSE())</f>
        <v>West</v>
      </c>
      <c r="N982" t="str">
        <f>VLOOKUP(C982,Customers!$A$2:$F$1001,4,FALSE())</f>
        <v>Corporate</v>
      </c>
    </row>
    <row r="983" spans="1:14" x14ac:dyDescent="0.25">
      <c r="A983">
        <v>982</v>
      </c>
      <c r="B983" t="s">
        <v>1894</v>
      </c>
      <c r="C983" t="s">
        <v>1767</v>
      </c>
      <c r="D983" t="s">
        <v>1812</v>
      </c>
      <c r="E983">
        <v>3</v>
      </c>
      <c r="F983">
        <v>30</v>
      </c>
      <c r="G983">
        <v>90</v>
      </c>
      <c r="H983" s="9">
        <v>0.05</v>
      </c>
      <c r="I983">
        <v>29.28</v>
      </c>
      <c r="J983" s="10">
        <f t="shared" si="30"/>
        <v>12</v>
      </c>
      <c r="K983" s="11">
        <f t="shared" si="31"/>
        <v>0.32533333333333336</v>
      </c>
      <c r="L983" t="str">
        <f>VLOOKUP(C983,Customers!$A$2:$F$1001,2,FALSE())</f>
        <v>Linda Allen</v>
      </c>
      <c r="M983" t="str">
        <f>VLOOKUP(C983,Customers!$A$2:$F$1001,3,FALSE())</f>
        <v>South</v>
      </c>
      <c r="N983" t="str">
        <f>VLOOKUP(C983,Customers!$A$2:$F$1001,4,FALSE())</f>
        <v>Consumer</v>
      </c>
    </row>
    <row r="984" spans="1:14" x14ac:dyDescent="0.25">
      <c r="A984">
        <v>983</v>
      </c>
      <c r="B984" t="s">
        <v>2029</v>
      </c>
      <c r="C984" t="s">
        <v>1769</v>
      </c>
      <c r="D984" t="s">
        <v>1814</v>
      </c>
      <c r="E984">
        <v>1</v>
      </c>
      <c r="F984">
        <v>300</v>
      </c>
      <c r="G984">
        <v>300</v>
      </c>
      <c r="H984" s="9">
        <v>0.1</v>
      </c>
      <c r="I984">
        <v>44.03</v>
      </c>
      <c r="J984" s="10">
        <f t="shared" si="30"/>
        <v>11</v>
      </c>
      <c r="K984" s="11">
        <f t="shared" si="31"/>
        <v>0.14676666666666668</v>
      </c>
      <c r="L984" t="str">
        <f>VLOOKUP(C984,Customers!$A$2:$F$1001,2,FALSE())</f>
        <v>Kenneth Robinson</v>
      </c>
      <c r="M984" t="str">
        <f>VLOOKUP(C984,Customers!$A$2:$F$1001,3,FALSE())</f>
        <v>West</v>
      </c>
      <c r="N984" t="str">
        <f>VLOOKUP(C984,Customers!$A$2:$F$1001,4,FALSE())</f>
        <v>Consumer</v>
      </c>
    </row>
    <row r="985" spans="1:14" x14ac:dyDescent="0.25">
      <c r="A985">
        <v>984</v>
      </c>
      <c r="B985" t="s">
        <v>2075</v>
      </c>
      <c r="C985" t="s">
        <v>1770</v>
      </c>
      <c r="D985" t="s">
        <v>1814</v>
      </c>
      <c r="E985">
        <v>1</v>
      </c>
      <c r="F985">
        <v>500</v>
      </c>
      <c r="G985">
        <v>500</v>
      </c>
      <c r="H985" s="9">
        <v>0</v>
      </c>
      <c r="I985">
        <v>102.99</v>
      </c>
      <c r="J985" s="10">
        <f t="shared" si="30"/>
        <v>8</v>
      </c>
      <c r="K985" s="11">
        <f t="shared" si="31"/>
        <v>0.20598</v>
      </c>
      <c r="L985" t="str">
        <f>VLOOKUP(C985,Customers!$A$2:$F$1001,2,FALSE())</f>
        <v>Charles Jackson</v>
      </c>
      <c r="M985" t="str">
        <f>VLOOKUP(C985,Customers!$A$2:$F$1001,3,FALSE())</f>
        <v>North</v>
      </c>
      <c r="N985" t="str">
        <f>VLOOKUP(C985,Customers!$A$2:$F$1001,4,FALSE())</f>
        <v>Corporate</v>
      </c>
    </row>
    <row r="986" spans="1:14" x14ac:dyDescent="0.25">
      <c r="A986">
        <v>985</v>
      </c>
      <c r="B986" t="s">
        <v>2151</v>
      </c>
      <c r="C986" t="s">
        <v>1771</v>
      </c>
      <c r="D986" t="s">
        <v>1816</v>
      </c>
      <c r="E986">
        <v>2</v>
      </c>
      <c r="F986">
        <v>25</v>
      </c>
      <c r="G986">
        <v>50</v>
      </c>
      <c r="H986" s="9">
        <v>0.05</v>
      </c>
      <c r="I986">
        <v>2.85</v>
      </c>
      <c r="J986" s="10">
        <f t="shared" si="30"/>
        <v>5</v>
      </c>
      <c r="K986" s="11">
        <f t="shared" si="31"/>
        <v>5.7000000000000002E-2</v>
      </c>
      <c r="L986" t="str">
        <f>VLOOKUP(C986,Customers!$A$2:$F$1001,2,FALSE())</f>
        <v>Dorothy Miller</v>
      </c>
      <c r="M986" t="str">
        <f>VLOOKUP(C986,Customers!$A$2:$F$1001,3,FALSE())</f>
        <v>East</v>
      </c>
      <c r="N986" t="str">
        <f>VLOOKUP(C986,Customers!$A$2:$F$1001,4,FALSE())</f>
        <v>Consumer</v>
      </c>
    </row>
    <row r="987" spans="1:14" x14ac:dyDescent="0.25">
      <c r="A987">
        <v>986</v>
      </c>
      <c r="B987" t="s">
        <v>1827</v>
      </c>
      <c r="C987" t="s">
        <v>1773</v>
      </c>
      <c r="D987" t="s">
        <v>1814</v>
      </c>
      <c r="E987">
        <v>2</v>
      </c>
      <c r="F987">
        <v>500</v>
      </c>
      <c r="G987">
        <v>1000</v>
      </c>
      <c r="H987" s="9">
        <v>0</v>
      </c>
      <c r="I987">
        <v>224.99</v>
      </c>
      <c r="J987" s="10">
        <f t="shared" si="30"/>
        <v>1</v>
      </c>
      <c r="K987" s="11">
        <f t="shared" si="31"/>
        <v>0.22499</v>
      </c>
      <c r="L987" t="str">
        <f>VLOOKUP(C987,Customers!$A$2:$F$1001,2,FALSE())</f>
        <v>Dorothy Torres</v>
      </c>
      <c r="M987" t="str">
        <f>VLOOKUP(C987,Customers!$A$2:$F$1001,3,FALSE())</f>
        <v>West</v>
      </c>
      <c r="N987" t="str">
        <f>VLOOKUP(C987,Customers!$A$2:$F$1001,4,FALSE())</f>
        <v>Consumer</v>
      </c>
    </row>
    <row r="988" spans="1:14" x14ac:dyDescent="0.25">
      <c r="A988">
        <v>987</v>
      </c>
      <c r="B988" t="s">
        <v>2124</v>
      </c>
      <c r="C988" t="s">
        <v>1775</v>
      </c>
      <c r="D988" t="s">
        <v>1814</v>
      </c>
      <c r="E988">
        <v>3</v>
      </c>
      <c r="F988">
        <v>300</v>
      </c>
      <c r="G988">
        <v>900</v>
      </c>
      <c r="H988" s="9">
        <v>0</v>
      </c>
      <c r="I988">
        <v>201.92</v>
      </c>
      <c r="J988" s="10">
        <f t="shared" si="30"/>
        <v>4</v>
      </c>
      <c r="K988" s="11">
        <f t="shared" si="31"/>
        <v>0.22435555555555553</v>
      </c>
      <c r="L988" t="str">
        <f>VLOOKUP(C988,Customers!$A$2:$F$1001,2,FALSE())</f>
        <v>Paul Wilson</v>
      </c>
      <c r="M988" t="str">
        <f>VLOOKUP(C988,Customers!$A$2:$F$1001,3,FALSE())</f>
        <v>North</v>
      </c>
      <c r="N988" t="str">
        <f>VLOOKUP(C988,Customers!$A$2:$F$1001,4,FALSE())</f>
        <v>Consumer</v>
      </c>
    </row>
    <row r="989" spans="1:14" x14ac:dyDescent="0.25">
      <c r="A989">
        <v>988</v>
      </c>
      <c r="B989" t="s">
        <v>2158</v>
      </c>
      <c r="C989" t="s">
        <v>1777</v>
      </c>
      <c r="D989" t="s">
        <v>1814</v>
      </c>
      <c r="E989">
        <v>3</v>
      </c>
      <c r="F989">
        <v>25</v>
      </c>
      <c r="G989">
        <v>75</v>
      </c>
      <c r="H989" s="9">
        <v>0.05</v>
      </c>
      <c r="I989">
        <v>14.05</v>
      </c>
      <c r="J989" s="10">
        <f t="shared" si="30"/>
        <v>5</v>
      </c>
      <c r="K989" s="11">
        <f t="shared" si="31"/>
        <v>0.18733333333333335</v>
      </c>
      <c r="L989" t="str">
        <f>VLOOKUP(C989,Customers!$A$2:$F$1001,2,FALSE())</f>
        <v>Betty Williams</v>
      </c>
      <c r="M989" t="str">
        <f>VLOOKUP(C989,Customers!$A$2:$F$1001,3,FALSE())</f>
        <v>East</v>
      </c>
      <c r="N989" t="str">
        <f>VLOOKUP(C989,Customers!$A$2:$F$1001,4,FALSE())</f>
        <v>Corporate</v>
      </c>
    </row>
    <row r="990" spans="1:14" x14ac:dyDescent="0.25">
      <c r="A990">
        <v>989</v>
      </c>
      <c r="B990" t="s">
        <v>2065</v>
      </c>
      <c r="C990" t="s">
        <v>1779</v>
      </c>
      <c r="D990" t="s">
        <v>1816</v>
      </c>
      <c r="E990">
        <v>1</v>
      </c>
      <c r="F990">
        <v>25</v>
      </c>
      <c r="G990">
        <v>25</v>
      </c>
      <c r="H990" s="9">
        <v>0.25</v>
      </c>
      <c r="I990">
        <v>-1.25</v>
      </c>
      <c r="J990" s="10">
        <f t="shared" si="30"/>
        <v>12</v>
      </c>
      <c r="K990" s="11">
        <f t="shared" si="31"/>
        <v>-0.05</v>
      </c>
      <c r="L990" t="str">
        <f>VLOOKUP(C990,Customers!$A$2:$F$1001,2,FALSE())</f>
        <v>George Wilson</v>
      </c>
      <c r="M990" t="str">
        <f>VLOOKUP(C990,Customers!$A$2:$F$1001,3,FALSE())</f>
        <v>West</v>
      </c>
      <c r="N990" t="str">
        <f>VLOOKUP(C990,Customers!$A$2:$F$1001,4,FALSE())</f>
        <v>Consumer</v>
      </c>
    </row>
    <row r="991" spans="1:14" x14ac:dyDescent="0.25">
      <c r="A991">
        <v>990</v>
      </c>
      <c r="B991" t="s">
        <v>2056</v>
      </c>
      <c r="C991" t="s">
        <v>1781</v>
      </c>
      <c r="D991" t="s">
        <v>1812</v>
      </c>
      <c r="E991">
        <v>2</v>
      </c>
      <c r="F991">
        <v>500</v>
      </c>
      <c r="G991">
        <v>1000</v>
      </c>
      <c r="H991" s="9">
        <v>0.25</v>
      </c>
      <c r="I991">
        <v>87.65</v>
      </c>
      <c r="J991" s="10">
        <f t="shared" si="30"/>
        <v>5</v>
      </c>
      <c r="K991" s="11">
        <f t="shared" si="31"/>
        <v>8.7650000000000006E-2</v>
      </c>
      <c r="L991" t="str">
        <f>VLOOKUP(C991,Customers!$A$2:$F$1001,2,FALSE())</f>
        <v>Robert Young</v>
      </c>
      <c r="M991" t="str">
        <f>VLOOKUP(C991,Customers!$A$2:$F$1001,3,FALSE())</f>
        <v>North</v>
      </c>
      <c r="N991" t="str">
        <f>VLOOKUP(C991,Customers!$A$2:$F$1001,4,FALSE())</f>
        <v>Corporate</v>
      </c>
    </row>
    <row r="992" spans="1:14" x14ac:dyDescent="0.25">
      <c r="A992">
        <v>991</v>
      </c>
      <c r="B992" t="s">
        <v>1838</v>
      </c>
      <c r="C992" t="s">
        <v>1783</v>
      </c>
      <c r="D992" t="s">
        <v>1814</v>
      </c>
      <c r="E992">
        <v>2</v>
      </c>
      <c r="F992">
        <v>50</v>
      </c>
      <c r="G992">
        <v>100</v>
      </c>
      <c r="H992" s="9">
        <v>0.25</v>
      </c>
      <c r="I992">
        <v>-4.08</v>
      </c>
      <c r="J992" s="10">
        <f t="shared" si="30"/>
        <v>12</v>
      </c>
      <c r="K992" s="11">
        <f t="shared" si="31"/>
        <v>-4.0800000000000003E-2</v>
      </c>
      <c r="L992" t="str">
        <f>VLOOKUP(C992,Customers!$A$2:$F$1001,2,FALSE())</f>
        <v>Steven Harris</v>
      </c>
      <c r="M992" t="str">
        <f>VLOOKUP(C992,Customers!$A$2:$F$1001,3,FALSE())</f>
        <v>North</v>
      </c>
      <c r="N992" t="str">
        <f>VLOOKUP(C992,Customers!$A$2:$F$1001,4,FALSE())</f>
        <v>Corporate</v>
      </c>
    </row>
    <row r="993" spans="1:14" x14ac:dyDescent="0.25">
      <c r="A993">
        <v>992</v>
      </c>
      <c r="B993" t="s">
        <v>1877</v>
      </c>
      <c r="C993" t="s">
        <v>1785</v>
      </c>
      <c r="D993" t="s">
        <v>1816</v>
      </c>
      <c r="E993">
        <v>2</v>
      </c>
      <c r="F993">
        <v>30</v>
      </c>
      <c r="G993">
        <v>60</v>
      </c>
      <c r="H993" s="9">
        <v>0.05</v>
      </c>
      <c r="I993">
        <v>4.5999999999999996</v>
      </c>
      <c r="J993" s="10">
        <f t="shared" si="30"/>
        <v>8</v>
      </c>
      <c r="K993" s="11">
        <f t="shared" si="31"/>
        <v>7.6666666666666661E-2</v>
      </c>
      <c r="L993" t="str">
        <f>VLOOKUP(C993,Customers!$A$2:$F$1001,2,FALSE())</f>
        <v>Robert Walker</v>
      </c>
      <c r="M993" t="str">
        <f>VLOOKUP(C993,Customers!$A$2:$F$1001,3,FALSE())</f>
        <v>East</v>
      </c>
      <c r="N993" t="str">
        <f>VLOOKUP(C993,Customers!$A$2:$F$1001,4,FALSE())</f>
        <v>Home Office</v>
      </c>
    </row>
    <row r="994" spans="1:14" x14ac:dyDescent="0.25">
      <c r="A994">
        <v>993</v>
      </c>
      <c r="B994" t="s">
        <v>1888</v>
      </c>
      <c r="C994" t="s">
        <v>1787</v>
      </c>
      <c r="D994" t="s">
        <v>1816</v>
      </c>
      <c r="E994">
        <v>3</v>
      </c>
      <c r="F994">
        <v>50</v>
      </c>
      <c r="G994">
        <v>150</v>
      </c>
      <c r="H994" s="9">
        <v>0</v>
      </c>
      <c r="I994">
        <v>13.13</v>
      </c>
      <c r="J994" s="10">
        <f t="shared" si="30"/>
        <v>2</v>
      </c>
      <c r="K994" s="11">
        <f t="shared" si="31"/>
        <v>8.7533333333333338E-2</v>
      </c>
      <c r="L994" t="str">
        <f>VLOOKUP(C994,Customers!$A$2:$F$1001,2,FALSE())</f>
        <v>Ashley Young</v>
      </c>
      <c r="M994" t="str">
        <f>VLOOKUP(C994,Customers!$A$2:$F$1001,3,FALSE())</f>
        <v>South</v>
      </c>
      <c r="N994" t="str">
        <f>VLOOKUP(C994,Customers!$A$2:$F$1001,4,FALSE())</f>
        <v>Consumer</v>
      </c>
    </row>
    <row r="995" spans="1:14" x14ac:dyDescent="0.25">
      <c r="A995">
        <v>994</v>
      </c>
      <c r="B995" t="s">
        <v>2058</v>
      </c>
      <c r="C995" t="s">
        <v>1788</v>
      </c>
      <c r="D995" t="s">
        <v>1812</v>
      </c>
      <c r="E995">
        <v>2</v>
      </c>
      <c r="F995">
        <v>500</v>
      </c>
      <c r="G995">
        <v>1000</v>
      </c>
      <c r="H995" s="9">
        <v>0.05</v>
      </c>
      <c r="I995">
        <v>292.12</v>
      </c>
      <c r="J995" s="10">
        <f t="shared" si="30"/>
        <v>12</v>
      </c>
      <c r="K995" s="11">
        <f t="shared" si="31"/>
        <v>0.29211999999999999</v>
      </c>
      <c r="L995" t="str">
        <f>VLOOKUP(C995,Customers!$A$2:$F$1001,2,FALSE())</f>
        <v>Dorothy Rodriguez</v>
      </c>
      <c r="M995" t="str">
        <f>VLOOKUP(C995,Customers!$A$2:$F$1001,3,FALSE())</f>
        <v>North</v>
      </c>
      <c r="N995" t="str">
        <f>VLOOKUP(C995,Customers!$A$2:$F$1001,4,FALSE())</f>
        <v>Corporate</v>
      </c>
    </row>
    <row r="996" spans="1:14" x14ac:dyDescent="0.25">
      <c r="A996">
        <v>995</v>
      </c>
      <c r="B996" t="s">
        <v>1831</v>
      </c>
      <c r="C996" t="s">
        <v>1790</v>
      </c>
      <c r="D996" t="s">
        <v>1814</v>
      </c>
      <c r="E996">
        <v>1</v>
      </c>
      <c r="F996">
        <v>30</v>
      </c>
      <c r="G996">
        <v>30</v>
      </c>
      <c r="H996" s="9">
        <v>0</v>
      </c>
      <c r="I996">
        <v>7.52</v>
      </c>
      <c r="J996" s="10">
        <f t="shared" si="30"/>
        <v>4</v>
      </c>
      <c r="K996" s="11">
        <f t="shared" si="31"/>
        <v>0.25066666666666665</v>
      </c>
      <c r="L996" t="str">
        <f>VLOOKUP(C996,Customers!$A$2:$F$1001,2,FALSE())</f>
        <v>William Torres</v>
      </c>
      <c r="M996" t="str">
        <f>VLOOKUP(C996,Customers!$A$2:$F$1001,3,FALSE())</f>
        <v>South</v>
      </c>
      <c r="N996" t="str">
        <f>VLOOKUP(C996,Customers!$A$2:$F$1001,4,FALSE())</f>
        <v>Corporate</v>
      </c>
    </row>
    <row r="997" spans="1:14" x14ac:dyDescent="0.25">
      <c r="A997">
        <v>996</v>
      </c>
      <c r="B997" t="s">
        <v>1856</v>
      </c>
      <c r="C997" t="s">
        <v>1792</v>
      </c>
      <c r="D997" t="s">
        <v>1814</v>
      </c>
      <c r="E997">
        <v>1</v>
      </c>
      <c r="F997">
        <v>50</v>
      </c>
      <c r="G997">
        <v>50</v>
      </c>
      <c r="H997" s="9">
        <v>0</v>
      </c>
      <c r="I997">
        <v>12.77</v>
      </c>
      <c r="J997" s="10">
        <f t="shared" si="30"/>
        <v>5</v>
      </c>
      <c r="K997" s="11">
        <f t="shared" si="31"/>
        <v>0.25540000000000002</v>
      </c>
      <c r="L997" t="str">
        <f>VLOOKUP(C997,Customers!$A$2:$F$1001,2,FALSE())</f>
        <v>Anthony Moore</v>
      </c>
      <c r="M997" t="str">
        <f>VLOOKUP(C997,Customers!$A$2:$F$1001,3,FALSE())</f>
        <v>East</v>
      </c>
      <c r="N997" t="str">
        <f>VLOOKUP(C997,Customers!$A$2:$F$1001,4,FALSE())</f>
        <v>Consumer</v>
      </c>
    </row>
    <row r="998" spans="1:14" x14ac:dyDescent="0.25">
      <c r="A998">
        <v>997</v>
      </c>
      <c r="B998" t="s">
        <v>1945</v>
      </c>
      <c r="C998" t="s">
        <v>1794</v>
      </c>
      <c r="D998" t="s">
        <v>1812</v>
      </c>
      <c r="E998">
        <v>3</v>
      </c>
      <c r="F998">
        <v>30</v>
      </c>
      <c r="G998">
        <v>90</v>
      </c>
      <c r="H998" s="9">
        <v>0</v>
      </c>
      <c r="I998">
        <v>37.19</v>
      </c>
      <c r="J998" s="10">
        <f t="shared" si="30"/>
        <v>11</v>
      </c>
      <c r="K998" s="11">
        <f t="shared" si="31"/>
        <v>0.41322222222222221</v>
      </c>
      <c r="L998" t="str">
        <f>VLOOKUP(C998,Customers!$A$2:$F$1001,2,FALSE())</f>
        <v>Joseph Sanchez</v>
      </c>
      <c r="M998" t="str">
        <f>VLOOKUP(C998,Customers!$A$2:$F$1001,3,FALSE())</f>
        <v>South</v>
      </c>
      <c r="N998" t="str">
        <f>VLOOKUP(C998,Customers!$A$2:$F$1001,4,FALSE())</f>
        <v>Corporate</v>
      </c>
    </row>
    <row r="999" spans="1:14" x14ac:dyDescent="0.25">
      <c r="A999">
        <v>998</v>
      </c>
      <c r="B999" t="s">
        <v>1842</v>
      </c>
      <c r="C999" t="s">
        <v>1796</v>
      </c>
      <c r="D999" t="s">
        <v>1812</v>
      </c>
      <c r="E999">
        <v>4</v>
      </c>
      <c r="F999">
        <v>25</v>
      </c>
      <c r="G999">
        <v>100</v>
      </c>
      <c r="H999" s="9">
        <v>0.05</v>
      </c>
      <c r="I999">
        <v>32.72</v>
      </c>
      <c r="J999" s="10">
        <f t="shared" si="30"/>
        <v>10</v>
      </c>
      <c r="K999" s="11">
        <f t="shared" si="31"/>
        <v>0.32719999999999999</v>
      </c>
      <c r="L999" t="str">
        <f>VLOOKUP(C999,Customers!$A$2:$F$1001,2,FALSE())</f>
        <v>Donna Smith</v>
      </c>
      <c r="M999" t="str">
        <f>VLOOKUP(C999,Customers!$A$2:$F$1001,3,FALSE())</f>
        <v>South</v>
      </c>
      <c r="N999" t="str">
        <f>VLOOKUP(C999,Customers!$A$2:$F$1001,4,FALSE())</f>
        <v>Consumer</v>
      </c>
    </row>
    <row r="1000" spans="1:14" x14ac:dyDescent="0.25">
      <c r="A1000">
        <v>999</v>
      </c>
      <c r="B1000" t="s">
        <v>1873</v>
      </c>
      <c r="C1000" t="s">
        <v>1798</v>
      </c>
      <c r="D1000" t="s">
        <v>1816</v>
      </c>
      <c r="E1000">
        <v>3</v>
      </c>
      <c r="F1000">
        <v>50</v>
      </c>
      <c r="G1000">
        <v>150</v>
      </c>
      <c r="H1000" s="9">
        <v>0.05</v>
      </c>
      <c r="I1000">
        <v>17.03</v>
      </c>
      <c r="J1000" s="10">
        <f t="shared" si="30"/>
        <v>12</v>
      </c>
      <c r="K1000" s="11">
        <f t="shared" si="31"/>
        <v>0.11353333333333335</v>
      </c>
      <c r="L1000" t="str">
        <f>VLOOKUP(C1000,Customers!$A$2:$F$1001,2,FALSE())</f>
        <v>Betty Flores</v>
      </c>
      <c r="M1000" t="str">
        <f>VLOOKUP(C1000,Customers!$A$2:$F$1001,3,FALSE())</f>
        <v>West</v>
      </c>
      <c r="N1000" t="str">
        <f>VLOOKUP(C1000,Customers!$A$2:$F$1001,4,FALSE())</f>
        <v>Home Office</v>
      </c>
    </row>
    <row r="1001" spans="1:14" x14ac:dyDescent="0.25">
      <c r="A1001">
        <v>1000</v>
      </c>
      <c r="B1001" t="s">
        <v>1836</v>
      </c>
      <c r="C1001" t="s">
        <v>1799</v>
      </c>
      <c r="D1001" t="s">
        <v>1816</v>
      </c>
      <c r="E1001">
        <v>4</v>
      </c>
      <c r="F1001">
        <v>30</v>
      </c>
      <c r="G1001">
        <v>120</v>
      </c>
      <c r="H1001" s="9">
        <v>0</v>
      </c>
      <c r="I1001">
        <v>14.54</v>
      </c>
      <c r="J1001" s="10">
        <f t="shared" si="30"/>
        <v>4</v>
      </c>
      <c r="K1001" s="11">
        <f t="shared" si="31"/>
        <v>0.12116666666666666</v>
      </c>
      <c r="L1001" t="str">
        <f>VLOOKUP(C1001,Customers!$A$2:$F$1001,2,FALSE())</f>
        <v>Joseph Lopez</v>
      </c>
      <c r="M1001" t="str">
        <f>VLOOKUP(C1001,Customers!$A$2:$F$1001,3,FALSE())</f>
        <v>East</v>
      </c>
      <c r="N1001" t="str">
        <f>VLOOKUP(C1001,Customers!$A$2:$F$1001,4,FALSE())</f>
        <v>Consumer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Normal="100" workbookViewId="0">
      <selection sqref="A1:D1"/>
    </sheetView>
  </sheetViews>
  <sheetFormatPr defaultColWidth="8.7109375" defaultRowHeight="15" x14ac:dyDescent="0.25"/>
  <cols>
    <col min="1" max="4" width="26" customWidth="1"/>
  </cols>
  <sheetData>
    <row r="1" spans="1:4" ht="18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</row>
    <row r="3" spans="1:4" x14ac:dyDescent="0.25">
      <c r="A3" s="3" t="s">
        <v>3</v>
      </c>
      <c r="B3" s="4">
        <f>SUM(Orders!G2:G1001)</f>
        <v>456000</v>
      </c>
    </row>
    <row r="4" spans="1:4" x14ac:dyDescent="0.25">
      <c r="A4" s="3" t="s">
        <v>4</v>
      </c>
      <c r="B4" s="4">
        <f>SUM(Orders!I2:I1001)</f>
        <v>71306.279999999984</v>
      </c>
    </row>
    <row r="5" spans="1:4" x14ac:dyDescent="0.25">
      <c r="A5" s="3" t="s">
        <v>5</v>
      </c>
      <c r="B5" s="5">
        <f>B4/B3</f>
        <v>0.15637342105263155</v>
      </c>
    </row>
    <row r="6" spans="1:4" x14ac:dyDescent="0.25">
      <c r="A6" s="3" t="s">
        <v>6</v>
      </c>
      <c r="B6" s="6">
        <f>COUNTA(Orders!A2:A1001)</f>
        <v>1000</v>
      </c>
    </row>
    <row r="7" spans="1:4" x14ac:dyDescent="0.25">
      <c r="A7" s="3" t="s">
        <v>7</v>
      </c>
      <c r="B7" s="6">
        <f>COUNTA(Customers!A2:A1001)</f>
        <v>1000</v>
      </c>
    </row>
    <row r="8" spans="1:4" x14ac:dyDescent="0.25">
      <c r="A8" s="3" t="s">
        <v>8</v>
      </c>
      <c r="B8" s="7">
        <f>B3/B6</f>
        <v>456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Normal="100" workbookViewId="0"/>
  </sheetViews>
  <sheetFormatPr defaultColWidth="8.7109375" defaultRowHeight="15" x14ac:dyDescent="0.25"/>
  <cols>
    <col min="1" max="5" width="16" customWidth="1"/>
  </cols>
  <sheetData>
    <row r="1" spans="1:5" ht="18" x14ac:dyDescent="0.25">
      <c r="A1" s="12" t="s">
        <v>2159</v>
      </c>
    </row>
    <row r="2" spans="1:5" x14ac:dyDescent="0.25">
      <c r="A2" s="8" t="s">
        <v>11</v>
      </c>
      <c r="B2" s="8" t="s">
        <v>2160</v>
      </c>
      <c r="C2" s="8" t="s">
        <v>2161</v>
      </c>
      <c r="D2" s="8" t="s">
        <v>1810</v>
      </c>
      <c r="E2" s="8" t="s">
        <v>2162</v>
      </c>
    </row>
    <row r="3" spans="1:5" x14ac:dyDescent="0.25">
      <c r="A3" t="s">
        <v>32</v>
      </c>
      <c r="B3" s="13">
        <f>SUMIFS(Orders!$G$2:$G$1001,Orders!$M$2:$M$1001,A3)</f>
        <v>99285</v>
      </c>
      <c r="C3" s="13">
        <f>SUMIFS(Orders!$I$2:$I$1001,Orders!$M$2:$M$1001,A3)</f>
        <v>15799.240000000003</v>
      </c>
      <c r="D3" s="11">
        <f>IF(B3=0,0,C3/B3)</f>
        <v>0.15913018079266761</v>
      </c>
      <c r="E3" s="10">
        <f>COUNTIFS(Orders!$M$2:$M$1001,A3)</f>
        <v>246</v>
      </c>
    </row>
    <row r="4" spans="1:5" x14ac:dyDescent="0.25">
      <c r="A4" t="s">
        <v>17</v>
      </c>
      <c r="B4" s="13">
        <f>SUMIFS(Orders!$G$2:$G$1001,Orders!$M$2:$M$1001,A4)</f>
        <v>133380</v>
      </c>
      <c r="C4" s="13">
        <f>SUMIFS(Orders!$I$2:$I$1001,Orders!$M$2:$M$1001,A4)</f>
        <v>21697.209999999988</v>
      </c>
      <c r="D4" s="11">
        <f>IF(B4=0,0,C4/B4)</f>
        <v>0.16267213975108702</v>
      </c>
      <c r="E4" s="10">
        <f>COUNTIFS(Orders!$M$2:$M$1001,A4)</f>
        <v>278</v>
      </c>
    </row>
    <row r="5" spans="1:5" x14ac:dyDescent="0.25">
      <c r="A5" t="s">
        <v>22</v>
      </c>
      <c r="B5" s="13">
        <f>SUMIFS(Orders!$G$2:$G$1001,Orders!$M$2:$M$1001,A5)</f>
        <v>110260</v>
      </c>
      <c r="C5" s="13">
        <f>SUMIFS(Orders!$I$2:$I$1001,Orders!$M$2:$M$1001,A5)</f>
        <v>16793.990000000005</v>
      </c>
      <c r="D5" s="11">
        <f>IF(B5=0,0,C5/B5)</f>
        <v>0.15231262470524221</v>
      </c>
      <c r="E5" s="10">
        <f>COUNTIFS(Orders!$M$2:$M$1001,A5)</f>
        <v>242</v>
      </c>
    </row>
    <row r="6" spans="1:5" x14ac:dyDescent="0.25">
      <c r="A6" t="s">
        <v>37</v>
      </c>
      <c r="B6" s="13">
        <f>SUMIFS(Orders!$G$2:$G$1001,Orders!$M$2:$M$1001,A6)</f>
        <v>113075</v>
      </c>
      <c r="C6" s="13">
        <f>SUMIFS(Orders!$I$2:$I$1001,Orders!$M$2:$M$1001,A6)</f>
        <v>17015.840000000004</v>
      </c>
      <c r="D6" s="11">
        <f>IF(B6=0,0,C6/B6)</f>
        <v>0.15048277691797482</v>
      </c>
      <c r="E6" s="10">
        <f>COUNTIFS(Orders!$M$2:$M$1001,A6)</f>
        <v>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Normal="100" workbookViewId="0"/>
  </sheetViews>
  <sheetFormatPr defaultColWidth="8.7109375" defaultRowHeight="15" x14ac:dyDescent="0.25"/>
  <cols>
    <col min="1" max="5" width="18" customWidth="1"/>
  </cols>
  <sheetData>
    <row r="1" spans="1:5" ht="18" x14ac:dyDescent="0.25">
      <c r="A1" s="12" t="s">
        <v>2163</v>
      </c>
    </row>
    <row r="2" spans="1:5" x14ac:dyDescent="0.25">
      <c r="A2" s="8" t="s">
        <v>1803</v>
      </c>
      <c r="B2" s="8" t="s">
        <v>2160</v>
      </c>
      <c r="C2" s="8" t="s">
        <v>2161</v>
      </c>
      <c r="D2" s="8" t="s">
        <v>1810</v>
      </c>
      <c r="E2" s="8" t="s">
        <v>2162</v>
      </c>
    </row>
    <row r="3" spans="1:5" x14ac:dyDescent="0.25">
      <c r="A3" t="s">
        <v>1812</v>
      </c>
      <c r="B3" s="13">
        <f>SUMIFS(Orders!$G$2:$G$1001,Orders!$D$2:$D$1001,A3)</f>
        <v>143515</v>
      </c>
      <c r="C3" s="13">
        <f>SUMIFS(Orders!$I$2:$I$1001,Orders!$D$2:$D$1001,A3)</f>
        <v>36173.669999999962</v>
      </c>
      <c r="D3" s="11">
        <f>IF(B3=0,0,C3/B3)</f>
        <v>0.25205497683168981</v>
      </c>
      <c r="E3" s="10">
        <f>COUNTIFS(Orders!$D$2:$D$1001,A3)</f>
        <v>307</v>
      </c>
    </row>
    <row r="4" spans="1:5" x14ac:dyDescent="0.25">
      <c r="A4" t="s">
        <v>1814</v>
      </c>
      <c r="B4" s="13">
        <f>SUMIFS(Orders!$G$2:$G$1001,Orders!$D$2:$D$1001,A4)</f>
        <v>155580</v>
      </c>
      <c r="C4" s="13">
        <f>SUMIFS(Orders!$I$2:$I$1001,Orders!$D$2:$D$1001,A4)</f>
        <v>23804.989999999998</v>
      </c>
      <c r="D4" s="11">
        <f>IF(B4=0,0,C4/B4)</f>
        <v>0.153008034451729</v>
      </c>
      <c r="E4" s="10">
        <f>COUNTIFS(Orders!$D$2:$D$1001,A4)</f>
        <v>351</v>
      </c>
    </row>
    <row r="5" spans="1:5" x14ac:dyDescent="0.25">
      <c r="A5" t="s">
        <v>1816</v>
      </c>
      <c r="B5" s="13">
        <f>SUMIFS(Orders!$G$2:$G$1001,Orders!$D$2:$D$1001,A5)</f>
        <v>156905</v>
      </c>
      <c r="C5" s="13">
        <f>SUMIFS(Orders!$I$2:$I$1001,Orders!$D$2:$D$1001,A5)</f>
        <v>11327.62000000001</v>
      </c>
      <c r="D5" s="11">
        <f>IF(B5=0,0,C5/B5)</f>
        <v>7.219413020617578E-2</v>
      </c>
      <c r="E5" s="10">
        <f>COUNTIFS(Orders!$D$2:$D$1001,A5)</f>
        <v>342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Normal="100" workbookViewId="0"/>
  </sheetViews>
  <sheetFormatPr defaultColWidth="8.7109375" defaultRowHeight="15" x14ac:dyDescent="0.25"/>
  <cols>
    <col min="1" max="4" width="16" customWidth="1"/>
  </cols>
  <sheetData>
    <row r="1" spans="1:4" ht="18" x14ac:dyDescent="0.25">
      <c r="A1" s="12" t="s">
        <v>2164</v>
      </c>
    </row>
    <row r="2" spans="1:4" x14ac:dyDescent="0.25">
      <c r="A2" s="8" t="s">
        <v>11</v>
      </c>
      <c r="B2" s="8" t="s">
        <v>1812</v>
      </c>
      <c r="C2" s="8" t="s">
        <v>1814</v>
      </c>
      <c r="D2" s="8" t="s">
        <v>1816</v>
      </c>
    </row>
    <row r="3" spans="1:4" x14ac:dyDescent="0.25">
      <c r="A3" t="s">
        <v>32</v>
      </c>
      <c r="B3" s="13">
        <f>SUMIFS(Orders!$G$2:$G$1001,Orders!$M$2:$M$1001,$A3,Orders!$D$2:$D$1001,B$2)</f>
        <v>33665</v>
      </c>
      <c r="C3" s="13">
        <f>SUMIFS(Orders!$G$2:$G$1001,Orders!$M$2:$M$1001,$A3,Orders!$D$2:$D$1001,C$2)</f>
        <v>30820</v>
      </c>
      <c r="D3" s="13">
        <f>SUMIFS(Orders!$G$2:$G$1001,Orders!$M$2:$M$1001,$A3,Orders!$D$2:$D$1001,D$2)</f>
        <v>34800</v>
      </c>
    </row>
    <row r="4" spans="1:4" x14ac:dyDescent="0.25">
      <c r="A4" t="s">
        <v>17</v>
      </c>
      <c r="B4" s="13">
        <f>SUMIFS(Orders!$G$2:$G$1001,Orders!$M$2:$M$1001,$A4,Orders!$D$2:$D$1001,B$2)</f>
        <v>46500</v>
      </c>
      <c r="C4" s="13">
        <f>SUMIFS(Orders!$G$2:$G$1001,Orders!$M$2:$M$1001,$A4,Orders!$D$2:$D$1001,C$2)</f>
        <v>46680</v>
      </c>
      <c r="D4" s="13">
        <f>SUMIFS(Orders!$G$2:$G$1001,Orders!$M$2:$M$1001,$A4,Orders!$D$2:$D$1001,D$2)</f>
        <v>40200</v>
      </c>
    </row>
    <row r="5" spans="1:4" x14ac:dyDescent="0.25">
      <c r="A5" t="s">
        <v>22</v>
      </c>
      <c r="B5" s="13">
        <f>SUMIFS(Orders!$G$2:$G$1001,Orders!$M$2:$M$1001,$A5,Orders!$D$2:$D$1001,B$2)</f>
        <v>36815</v>
      </c>
      <c r="C5" s="13">
        <f>SUMIFS(Orders!$G$2:$G$1001,Orders!$M$2:$M$1001,$A5,Orders!$D$2:$D$1001,C$2)</f>
        <v>31815</v>
      </c>
      <c r="D5" s="13">
        <f>SUMIFS(Orders!$G$2:$G$1001,Orders!$M$2:$M$1001,$A5,Orders!$D$2:$D$1001,D$2)</f>
        <v>41630</v>
      </c>
    </row>
    <row r="6" spans="1:4" x14ac:dyDescent="0.25">
      <c r="A6" t="s">
        <v>37</v>
      </c>
      <c r="B6" s="13">
        <f>SUMIFS(Orders!$G$2:$G$1001,Orders!$M$2:$M$1001,$A6,Orders!$D$2:$D$1001,B$2)</f>
        <v>26535</v>
      </c>
      <c r="C6" s="13">
        <f>SUMIFS(Orders!$G$2:$G$1001,Orders!$M$2:$M$1001,$A6,Orders!$D$2:$D$1001,C$2)</f>
        <v>46265</v>
      </c>
      <c r="D6" s="13">
        <f>SUMIFS(Orders!$G$2:$G$1001,Orders!$M$2:$M$1001,$A6,Orders!$D$2:$D$1001,D$2)</f>
        <v>40275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Normal="100" workbookViewId="0"/>
  </sheetViews>
  <sheetFormatPr defaultColWidth="8.7109375" defaultRowHeight="15" x14ac:dyDescent="0.25"/>
  <cols>
    <col min="1" max="5" width="16" customWidth="1"/>
  </cols>
  <sheetData>
    <row r="1" spans="1:5" ht="18" x14ac:dyDescent="0.25">
      <c r="A1" s="12" t="s">
        <v>2165</v>
      </c>
    </row>
    <row r="2" spans="1:5" x14ac:dyDescent="0.25">
      <c r="A2" s="8" t="s">
        <v>12</v>
      </c>
      <c r="B2" s="8" t="s">
        <v>2160</v>
      </c>
      <c r="C2" s="8" t="s">
        <v>2161</v>
      </c>
      <c r="D2" s="8" t="s">
        <v>1810</v>
      </c>
      <c r="E2" s="8" t="s">
        <v>2162</v>
      </c>
    </row>
    <row r="3" spans="1:5" x14ac:dyDescent="0.25">
      <c r="A3" t="s">
        <v>23</v>
      </c>
      <c r="B3" s="13">
        <f>SUMIFS(Orders!$G$2:$G$1001,Orders!$N$2:$N$1001,A3)</f>
        <v>224925</v>
      </c>
      <c r="C3" s="13">
        <f>SUMIFS(Orders!$I$2:$I$1001,Orders!$N$2:$N$1001,A3)</f>
        <v>34750.83999999996</v>
      </c>
      <c r="D3" s="11">
        <f>IF(B3=0,0,C3/B3)</f>
        <v>0.15449967767033437</v>
      </c>
      <c r="E3" s="10">
        <f>COUNTIFS(Orders!$N$2:$N$1001,A3)</f>
        <v>506</v>
      </c>
    </row>
    <row r="4" spans="1:5" x14ac:dyDescent="0.25">
      <c r="A4" t="s">
        <v>29</v>
      </c>
      <c r="B4" s="13">
        <f>SUMIFS(Orders!$G$2:$G$1001,Orders!$N$2:$N$1001,A4)</f>
        <v>135630</v>
      </c>
      <c r="C4" s="13">
        <f>SUMIFS(Orders!$I$2:$I$1001,Orders!$N$2:$N$1001,A4)</f>
        <v>19388.939999999988</v>
      </c>
      <c r="D4" s="11">
        <f>IF(B4=0,0,C4/B4)</f>
        <v>0.14295465604954646</v>
      </c>
      <c r="E4" s="10">
        <f>COUNTIFS(Orders!$N$2:$N$1001,A4)</f>
        <v>298</v>
      </c>
    </row>
    <row r="5" spans="1:5" x14ac:dyDescent="0.25">
      <c r="A5" t="s">
        <v>18</v>
      </c>
      <c r="B5" s="13">
        <f>SUMIFS(Orders!$G$2:$G$1001,Orders!$N$2:$N$1001,A5)</f>
        <v>95445</v>
      </c>
      <c r="C5" s="13">
        <f>SUMIFS(Orders!$I$2:$I$1001,Orders!$N$2:$N$1001,A5)</f>
        <v>17166.500000000004</v>
      </c>
      <c r="D5" s="11">
        <f>IF(B5=0,0,C5/B5)</f>
        <v>0.17985750956047988</v>
      </c>
      <c r="E5" s="10">
        <f>COUNTIFS(Orders!$N$2:$N$1001,A5)</f>
        <v>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/>
  </sheetViews>
  <sheetFormatPr defaultColWidth="8.7109375" defaultRowHeight="15" x14ac:dyDescent="0.25"/>
  <cols>
    <col min="1" max="2" width="16" customWidth="1"/>
  </cols>
  <sheetData>
    <row r="1" spans="1:2" ht="18" x14ac:dyDescent="0.25">
      <c r="A1" s="12" t="s">
        <v>2166</v>
      </c>
    </row>
    <row r="2" spans="1:2" x14ac:dyDescent="0.25">
      <c r="A2" s="8" t="s">
        <v>1809</v>
      </c>
      <c r="B2" s="8" t="s">
        <v>2160</v>
      </c>
    </row>
    <row r="3" spans="1:2" x14ac:dyDescent="0.25">
      <c r="A3">
        <v>1</v>
      </c>
      <c r="B3" s="13">
        <f>SUMIFS(Orders!$G$2:$G$1001,Orders!$J$2:$J$1001,A3)</f>
        <v>36980</v>
      </c>
    </row>
    <row r="4" spans="1:2" x14ac:dyDescent="0.25">
      <c r="A4">
        <v>2</v>
      </c>
      <c r="B4" s="13">
        <f>SUMIFS(Orders!$G$2:$G$1001,Orders!$J$2:$J$1001,A4)</f>
        <v>44060</v>
      </c>
    </row>
    <row r="5" spans="1:2" x14ac:dyDescent="0.25">
      <c r="A5">
        <v>3</v>
      </c>
      <c r="B5" s="13">
        <f>SUMIFS(Orders!$G$2:$G$1001,Orders!$J$2:$J$1001,A5)</f>
        <v>28990</v>
      </c>
    </row>
    <row r="6" spans="1:2" x14ac:dyDescent="0.25">
      <c r="A6">
        <v>4</v>
      </c>
      <c r="B6" s="13">
        <f>SUMIFS(Orders!$G$2:$G$1001,Orders!$J$2:$J$1001,A6)</f>
        <v>33870</v>
      </c>
    </row>
    <row r="7" spans="1:2" x14ac:dyDescent="0.25">
      <c r="A7">
        <v>5</v>
      </c>
      <c r="B7" s="13">
        <f>SUMIFS(Orders!$G$2:$G$1001,Orders!$J$2:$J$1001,A7)</f>
        <v>53150</v>
      </c>
    </row>
    <row r="8" spans="1:2" x14ac:dyDescent="0.25">
      <c r="A8">
        <v>6</v>
      </c>
      <c r="B8" s="13">
        <f>SUMIFS(Orders!$G$2:$G$1001,Orders!$J$2:$J$1001,A8)</f>
        <v>36715</v>
      </c>
    </row>
    <row r="9" spans="1:2" x14ac:dyDescent="0.25">
      <c r="A9">
        <v>7</v>
      </c>
      <c r="B9" s="13">
        <f>SUMIFS(Orders!$G$2:$G$1001,Orders!$J$2:$J$1001,A9)</f>
        <v>35465</v>
      </c>
    </row>
    <row r="10" spans="1:2" x14ac:dyDescent="0.25">
      <c r="A10">
        <v>8</v>
      </c>
      <c r="B10" s="13">
        <f>SUMIFS(Orders!$G$2:$G$1001,Orders!$J$2:$J$1001,A10)</f>
        <v>36960</v>
      </c>
    </row>
    <row r="11" spans="1:2" x14ac:dyDescent="0.25">
      <c r="A11">
        <v>9</v>
      </c>
      <c r="B11" s="13">
        <f>SUMIFS(Orders!$G$2:$G$1001,Orders!$J$2:$J$1001,A11)</f>
        <v>23620</v>
      </c>
    </row>
    <row r="12" spans="1:2" x14ac:dyDescent="0.25">
      <c r="A12">
        <v>10</v>
      </c>
      <c r="B12" s="13">
        <f>SUMIFS(Orders!$G$2:$G$1001,Orders!$J$2:$J$1001,A12)</f>
        <v>46580</v>
      </c>
    </row>
    <row r="13" spans="1:2" x14ac:dyDescent="0.25">
      <c r="A13">
        <v>11</v>
      </c>
      <c r="B13" s="13">
        <f>SUMIFS(Orders!$G$2:$G$1001,Orders!$J$2:$J$1001,A13)</f>
        <v>34920</v>
      </c>
    </row>
    <row r="14" spans="1:2" x14ac:dyDescent="0.25">
      <c r="A14">
        <v>12</v>
      </c>
      <c r="B14" s="13">
        <f>SUMIFS(Orders!$G$2:$G$1001,Orders!$J$2:$J$1001,A14)</f>
        <v>44690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Normal="100" workbookViewId="0"/>
  </sheetViews>
  <sheetFormatPr defaultColWidth="8.7109375" defaultRowHeight="15" x14ac:dyDescent="0.25"/>
  <cols>
    <col min="1" max="5" width="18" customWidth="1"/>
  </cols>
  <sheetData>
    <row r="1" spans="1:5" ht="18" x14ac:dyDescent="0.25">
      <c r="A1" s="12" t="s">
        <v>2167</v>
      </c>
    </row>
    <row r="2" spans="1:5" x14ac:dyDescent="0.25">
      <c r="A2" s="8" t="s">
        <v>2168</v>
      </c>
      <c r="B2" s="8" t="s">
        <v>10</v>
      </c>
      <c r="C2" s="8" t="s">
        <v>11</v>
      </c>
      <c r="D2" s="8" t="s">
        <v>12</v>
      </c>
      <c r="E2" s="8" t="s">
        <v>2169</v>
      </c>
    </row>
    <row r="3" spans="1:5" x14ac:dyDescent="0.25">
      <c r="A3">
        <v>1</v>
      </c>
      <c r="B3" t="s">
        <v>862</v>
      </c>
      <c r="C3" t="s">
        <v>22</v>
      </c>
      <c r="D3" t="s">
        <v>29</v>
      </c>
      <c r="E3" s="13">
        <v>2100</v>
      </c>
    </row>
    <row r="4" spans="1:5" x14ac:dyDescent="0.25">
      <c r="A4">
        <v>2</v>
      </c>
      <c r="B4" t="s">
        <v>198</v>
      </c>
      <c r="C4" t="s">
        <v>22</v>
      </c>
      <c r="D4" t="s">
        <v>29</v>
      </c>
      <c r="E4" s="13">
        <v>2000</v>
      </c>
    </row>
    <row r="5" spans="1:5" x14ac:dyDescent="0.25">
      <c r="A5">
        <v>3</v>
      </c>
      <c r="B5" t="s">
        <v>1361</v>
      </c>
      <c r="C5" t="s">
        <v>37</v>
      </c>
      <c r="D5" t="s">
        <v>23</v>
      </c>
      <c r="E5" s="13">
        <v>2000</v>
      </c>
    </row>
    <row r="6" spans="1:5" x14ac:dyDescent="0.25">
      <c r="A6">
        <v>4</v>
      </c>
      <c r="B6" t="s">
        <v>236</v>
      </c>
      <c r="C6" t="s">
        <v>37</v>
      </c>
      <c r="D6" t="s">
        <v>23</v>
      </c>
      <c r="E6" s="13">
        <v>2000</v>
      </c>
    </row>
    <row r="7" spans="1:5" x14ac:dyDescent="0.25">
      <c r="A7">
        <v>5</v>
      </c>
      <c r="B7" t="s">
        <v>111</v>
      </c>
      <c r="C7" t="s">
        <v>22</v>
      </c>
      <c r="D7" t="s">
        <v>23</v>
      </c>
      <c r="E7" s="13">
        <v>2000</v>
      </c>
    </row>
    <row r="8" spans="1:5" x14ac:dyDescent="0.25">
      <c r="A8">
        <v>6</v>
      </c>
      <c r="B8" t="s">
        <v>1477</v>
      </c>
      <c r="C8" t="s">
        <v>22</v>
      </c>
      <c r="D8" t="s">
        <v>29</v>
      </c>
      <c r="E8" s="13">
        <v>2000</v>
      </c>
    </row>
    <row r="9" spans="1:5" x14ac:dyDescent="0.25">
      <c r="A9">
        <v>7</v>
      </c>
      <c r="B9" t="s">
        <v>1124</v>
      </c>
      <c r="C9" t="s">
        <v>17</v>
      </c>
      <c r="D9" t="s">
        <v>18</v>
      </c>
      <c r="E9" s="13">
        <v>2000</v>
      </c>
    </row>
    <row r="10" spans="1:5" x14ac:dyDescent="0.25">
      <c r="A10">
        <v>8</v>
      </c>
      <c r="B10" t="s">
        <v>1594</v>
      </c>
      <c r="C10" t="s">
        <v>37</v>
      </c>
      <c r="D10" t="s">
        <v>23</v>
      </c>
      <c r="E10" s="13">
        <v>2000</v>
      </c>
    </row>
    <row r="11" spans="1:5" x14ac:dyDescent="0.25">
      <c r="A11">
        <v>9</v>
      </c>
      <c r="B11" t="s">
        <v>520</v>
      </c>
      <c r="C11" t="s">
        <v>32</v>
      </c>
      <c r="D11" t="s">
        <v>18</v>
      </c>
      <c r="E11" s="13">
        <v>2000</v>
      </c>
    </row>
    <row r="12" spans="1:5" x14ac:dyDescent="0.25">
      <c r="A12">
        <v>10</v>
      </c>
      <c r="B12" t="s">
        <v>1707</v>
      </c>
      <c r="C12" t="s">
        <v>37</v>
      </c>
      <c r="D12" t="s">
        <v>23</v>
      </c>
      <c r="E12" s="13">
        <v>2000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Orders</vt:lpstr>
      <vt:lpstr>KPI_Summary</vt:lpstr>
      <vt:lpstr>Region_Analysis</vt:lpstr>
      <vt:lpstr>Category_Analysis</vt:lpstr>
      <vt:lpstr>Region_x_Category</vt:lpstr>
      <vt:lpstr>Segment_Analysis</vt:lpstr>
      <vt:lpstr>Monthly_Trend</vt:lpstr>
      <vt:lpstr>Top10_Customers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AKASH V H</cp:lastModifiedBy>
  <cp:revision>0</cp:revision>
  <dcterms:created xsi:type="dcterms:W3CDTF">2026-07-07T05:50:53Z</dcterms:created>
  <dcterms:modified xsi:type="dcterms:W3CDTF">2026-07-07T06:00:44Z</dcterms:modified>
  <dc:language>en-US</dc:language>
</cp:coreProperties>
</file>